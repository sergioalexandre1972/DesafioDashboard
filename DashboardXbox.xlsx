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49bf83762207120/Documentos/Desafio Dashboard/"/>
    </mc:Choice>
  </mc:AlternateContent>
  <xr:revisionPtr revIDLastSave="0" documentId="8_{6E781B29-C184-49BC-82ED-9E4A60F334D8}" xr6:coauthVersionLast="47" xr6:coauthVersionMax="47" xr10:uidLastSave="{00000000-0000-0000-0000-000000000000}"/>
  <bookViews>
    <workbookView xWindow="-120" yWindow="-120" windowWidth="290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3" l="1"/>
  <c r="F31" i="3"/>
</calcChain>
</file>

<file path=xl/sharedStrings.xml><?xml version="1.0" encoding="utf-8"?>
<sst xmlns="http://schemas.openxmlformats.org/spreadsheetml/2006/main" count="2026" uniqueCount="328">
  <si>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</si>
  <si>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</si>
  <si>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</si>
  <si>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</si>
  <si>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</si>
  <si>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</si>
  <si>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</si>
  <si>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</si>
  <si>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</si>
  <si>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</si>
  <si>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</si>
  <si>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</si>
  <si>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</si>
  <si>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</si>
  <si>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</si>
  <si>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</si>
  <si>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</si>
  <si>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</si>
  <si>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</si>
  <si>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</si>
  <si>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</si>
  <si>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</si>
  <si>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</si>
  <si>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</si>
  <si>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</si>
  <si>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</si>
  <si>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</si>
  <si>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</si>
  <si>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</si>
  <si>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</si>
  <si>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</si>
  <si>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</si>
  <si>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</si>
  <si>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</si>
  <si>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</si>
  <si>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</si>
  <si>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</si>
  <si>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</si>
  <si>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</si>
  <si>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</si>
  <si>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</si>
  <si>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</si>
  <si>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</si>
  <si>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</si>
  <si>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</si>
  <si>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</si>
  <si>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</si>
  <si>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</si>
  <si>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</si>
  <si>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</si>
  <si>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</si>
  <si>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</si>
  <si>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</si>
  <si>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</si>
  <si>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</si>
  <si>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</si>
  <si>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</si>
  <si>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</si>
  <si>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</si>
  <si>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</si>
  <si>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</si>
  <si>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</si>
  <si>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</si>
  <si>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</si>
  <si>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</si>
  <si>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</si>
  <si>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</si>
  <si>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</si>
  <si>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</si>
  <si>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</si>
  <si>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</si>
  <si>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</si>
  <si>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</si>
  <si>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</si>
  <si>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</si>
  <si>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</si>
  <si>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</si>
  <si>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</si>
  <si>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</si>
  <si>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</si>
  <si>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</si>
  <si>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</si>
  <si>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</si>
  <si>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</si>
  <si>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</si>
  <si>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</si>
  <si>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</si>
  <si>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</si>
  <si>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</si>
  <si>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</si>
  <si>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</si>
  <si>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</si>
  <si>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</si>
  <si>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</si>
  <si>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</si>
  <si>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</si>
  <si>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</si>
  <si>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</si>
  <si>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</si>
  <si>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</si>
  <si>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</si>
  <si>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</si>
  <si>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</si>
  <si>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</si>
  <si>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</si>
  <si>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</si>
  <si>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</si>
  <si>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</si>
  <si>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</si>
  <si>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</si>
  <si>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</si>
  <si>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</si>
  <si>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</si>
  <si>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</si>
  <si>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</si>
  <si>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</si>
  <si>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</si>
  <si>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</si>
  <si>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</si>
  <si>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</si>
  <si>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</si>
  <si>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</si>
  <si>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</si>
  <si>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</si>
  <si>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</si>
  <si>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</si>
  <si>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</si>
  <si>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</si>
  <si>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</si>
  <si>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</si>
  <si>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</si>
  <si>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</si>
  <si>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</si>
  <si>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</si>
  <si>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</si>
  <si>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</si>
  <si>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</si>
  <si>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</si>
  <si>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</si>
  <si>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</si>
  <si>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</si>
  <si>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</si>
  <si>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</si>
  <si>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</si>
  <si>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</si>
  <si>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</si>
  <si>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</si>
  <si>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</si>
  <si>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</si>
  <si>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</si>
  <si>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</si>
  <si>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</si>
  <si>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</si>
  <si>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</si>
  <si>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</si>
  <si>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</si>
  <si>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</si>
  <si>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</si>
  <si>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</si>
  <si>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</si>
  <si>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</si>
  <si>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</si>
  <si>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</si>
  <si>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</si>
  <si>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</si>
  <si>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</si>
  <si>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</si>
  <si>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</si>
  <si>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</si>
  <si>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</si>
  <si>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</si>
  <si>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</si>
  <si>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</si>
  <si>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</si>
  <si>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</si>
  <si>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</si>
  <si>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</si>
  <si>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</si>
  <si>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</si>
  <si>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</si>
  <si>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</si>
  <si>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</si>
  <si>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</si>
  <si>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</si>
  <si>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</si>
  <si>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</si>
  <si>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</si>
  <si>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</si>
  <si>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</si>
  <si>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</si>
  <si>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</si>
  <si>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</si>
  <si>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</si>
  <si>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</si>
  <si>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</si>
  <si>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</si>
  <si>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</si>
  <si>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</si>
  <si>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</si>
  <si>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</si>
  <si>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</si>
  <si>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</si>
  <si>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</si>
  <si>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</si>
  <si>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</si>
  <si>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</si>
  <si>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</si>
  <si>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</si>
  <si>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</si>
  <si>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</si>
  <si>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</si>
  <si>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</si>
  <si>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</si>
  <si>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</si>
  <si>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</si>
  <si>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</si>
  <si>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</si>
  <si>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</si>
  <si>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</si>
  <si>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</si>
  <si>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</si>
  <si>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</si>
  <si>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</si>
  <si>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</si>
  <si>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</si>
  <si>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</si>
  <si>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</si>
  <si>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</si>
  <si>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</si>
  <si>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</si>
  <si>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</si>
  <si>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</si>
  <si>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</si>
  <si>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</si>
  <si>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</si>
  <si>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</si>
  <si>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</si>
  <si>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</si>
  <si>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</si>
  <si>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</si>
  <si>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</si>
  <si>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</si>
  <si>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</si>
  <si>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</si>
  <si>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</si>
  <si>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</si>
  <si>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</si>
  <si>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</si>
  <si>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</si>
  <si>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</si>
  <si>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</si>
  <si>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</si>
  <si>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</si>
  <si>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</si>
  <si>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</si>
  <si>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</si>
  <si>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</si>
  <si>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</si>
  <si>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</si>
  <si>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</si>
  <si>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</si>
  <si>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</si>
  <si>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</si>
  <si>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</si>
  <si>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</si>
  <si>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</si>
  <si>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</si>
  <si>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</si>
  <si>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</si>
  <si>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</si>
  <si>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</si>
  <si>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</si>
  <si>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</si>
  <si>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</si>
  <si>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</si>
  <si>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</si>
  <si>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</si>
  <si>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</si>
  <si>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</si>
  <si>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</si>
  <si>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</si>
  <si>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</si>
  <si>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</si>
  <si>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</si>
  <si>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</si>
  <si>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</si>
  <si>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</si>
  <si>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</si>
  <si>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</si>
  <si>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</si>
  <si>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</si>
  <si>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</si>
  <si>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</si>
  <si>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</si>
  <si>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</si>
  <si>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</si>
  <si>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</si>
  <si>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</si>
  <si>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</si>
  <si>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</si>
  <si>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</si>
  <si>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</si>
  <si>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</si>
  <si>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</si>
  <si>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</si>
  <si>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</si>
  <si>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</si>
  <si>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</si>
  <si>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</si>
  <si>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</si>
  <si>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</si>
  <si>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</si>
  <si>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</si>
  <si>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</si>
  <si>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</si>
  <si>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Pergunta de Negócio</t>
  </si>
  <si>
    <t>Pergunta1 - Qual o faturamento Total de Vendas de planos anuais(</t>
  </si>
  <si>
    <t>de planos anuais (contendo todas as assinaturas agregadas)</t>
  </si>
  <si>
    <t xml:space="preserve">Pergunta2 - </t>
  </si>
  <si>
    <t>Olá Alexandre</t>
  </si>
  <si>
    <t>#E8E6E9</t>
  </si>
  <si>
    <t>XBOX GAME PASS SUBSCRIPTIONS SALES</t>
  </si>
  <si>
    <t xml:space="preserve"> Qual o faturamento Total de Vendas de  planos  separados por autorenovação e que não é autorenovação</t>
  </si>
  <si>
    <t xml:space="preserve">Pergunta3 - Total de vendas EA Play </t>
  </si>
  <si>
    <t>Soma de EA Play Season Pass</t>
  </si>
  <si>
    <t>Pergunta4 - Total de Vendas de Assinaturas de Minecraft Season Pass</t>
  </si>
  <si>
    <t>Soma de Minecraft Season Pass Price</t>
  </si>
  <si>
    <t>Calculation period: 01/01/2024 - 31/12/2024 - Update Date: 24/12/2025 ás 9:09hs.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</si>
</sst>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2AE6B1"/>
      <name val="Segoe UI"/>
      <family val="2"/>
    </font>
    <font>
      <sz val="11"/>
      <color rgb="FF22C55E"/>
      <name val="Aptos Narrow"/>
      <family val="2"/>
      <scheme val="minor"/>
    </font>
    <font>
      <sz val="11"/>
      <color rgb="FF2AE6B1"/>
      <name val="Aptos Narrow"/>
      <family val="2"/>
      <scheme val="minor"/>
    </font>
    <font>
      <b/>
      <sz val="11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  <border>
      <left/>
      <right/>
      <top style="thick">
        <color rgb="FF2AE6B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0" pivotButton="1" applyNumberFormat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0" fillId="8" borderId="0" xfId="0" applyFill="1"/>
    <xf numFmtId="0" fontId="6" fillId="8" borderId="0" xfId="0" applyFont="1" applyFill="1"/>
    <xf numFmtId="0" fontId="7" fillId="0" borderId="2" xfId="0" applyFont="1" applyBorder="1"/>
    <xf numFmtId="0" fontId="5" fillId="8" borderId="2" xfId="1" applyFont="1" applyFill="1" applyBorder="1"/>
    <xf numFmtId="0" fontId="5" fillId="0" borderId="2" xfId="1" applyFont="1" applyBorder="1"/>
    <xf numFmtId="0" fontId="7" fillId="0" borderId="3" xfId="0" applyFont="1" applyBorder="1"/>
    <xf numFmtId="44" fontId="0" fillId="0" borderId="0" xfId="2" applyFont="1"/>
    <xf numFmtId="0" fontId="5" fillId="8" borderId="2" xfId="1" applyFont="1" applyFill="1" applyBorder="1" applyAlignment="1">
      <alignment horizontal="left" indent="2"/>
    </xf>
    <xf numFmtId="0" fontId="8" fillId="5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61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z val="9"/>
        <color theme="0" tint="-4.9989318521683403E-2"/>
        <name val="Segoe UI"/>
        <family val="2"/>
        <scheme val="none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3" pivot="0" table="0" count="10" xr9:uid="{9DD4614C-EAAE-49EC-8E9A-3AE0EA29F5CC}">
      <tableStyleElement type="wholeTable" dxfId="46"/>
      <tableStyleElement type="headerRow" dxfId="45"/>
    </tableStyle>
  </tableStyles>
  <colors>
    <mruColors>
      <color rgb="FF2AE6B1"/>
      <color rgb="FF22C55E"/>
      <color rgb="FF5BF6A8"/>
      <color rgb="FFE8E6E9"/>
      <color rgb="FFFFFF00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[DashboardXbox.xlsx]C̳álculos!tbl_anual_total</c:name>
    <c:fmtId val="4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</c:pivotFmt>
      <c:pivotFmt>
        <c:idx val="8"/>
        <c:spPr>
          <a:solidFill>
            <a:srgbClr val="2AE6B1"/>
          </a:solidFill>
          <a:ln>
            <a:noFill/>
          </a:ln>
          <a:effectLst/>
        </c:spPr>
      </c:pivotFmt>
      <c:pivotFmt>
        <c:idx val="9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6EB-4F26-97C4-EA07F55B0A4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6EB-4F26-97C4-EA07F55B0A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C̳álculos!$C$16:$C$18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C̳álculos!$D$16:$D$18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EB-4F26-97C4-EA07F55B0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091199"/>
        <c:axId val="122093695"/>
      </c:barChart>
      <c:catAx>
        <c:axId val="122091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93695"/>
        <c:crosses val="autoZero"/>
        <c:auto val="1"/>
        <c:lblAlgn val="ctr"/>
        <c:lblOffset val="100"/>
        <c:noMultiLvlLbl val="0"/>
      </c:catAx>
      <c:valAx>
        <c:axId val="12209369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20911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chart" Target="../charts/chart1.xml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476250</xdr:colOff>
      <xdr:row>27</xdr:row>
      <xdr:rowOff>114299</xdr:rowOff>
    </xdr:from>
    <xdr:to>
      <xdr:col>4</xdr:col>
      <xdr:colOff>196926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62050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304800</xdr:colOff>
      <xdr:row>5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71436</xdr:colOff>
      <xdr:row>1</xdr:row>
      <xdr:rowOff>95251</xdr:rowOff>
    </xdr:from>
    <xdr:to>
      <xdr:col>3</xdr:col>
      <xdr:colOff>238124</xdr:colOff>
      <xdr:row>2</xdr:row>
      <xdr:rowOff>214315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8ADED5-D78E-48F4-B4C7-156DA3B89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88" t="18325" r="70845" b="18147"/>
        <a:stretch/>
      </xdr:blipFill>
      <xdr:spPr>
        <a:xfrm>
          <a:off x="2095499" y="273845"/>
          <a:ext cx="714375" cy="619126"/>
        </a:xfrm>
        <a:prstGeom prst="rect">
          <a:avLst/>
        </a:prstGeom>
      </xdr:spPr>
    </xdr:pic>
    <xdr:clientData/>
  </xdr:twoCellAnchor>
  <xdr:twoCellAnchor>
    <xdr:from>
      <xdr:col>0</xdr:col>
      <xdr:colOff>642937</xdr:colOff>
      <xdr:row>1</xdr:row>
      <xdr:rowOff>1</xdr:rowOff>
    </xdr:from>
    <xdr:to>
      <xdr:col>0</xdr:col>
      <xdr:colOff>1414462</xdr:colOff>
      <xdr:row>2</xdr:row>
      <xdr:rowOff>226219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AE1B7DBA-29F0-4800-B101-C11A6639DE41}"/>
            </a:ext>
          </a:extLst>
        </xdr:cNvPr>
        <xdr:cNvSpPr/>
      </xdr:nvSpPr>
      <xdr:spPr>
        <a:xfrm>
          <a:off x="642937" y="178595"/>
          <a:ext cx="771525" cy="726280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5</xdr:row>
      <xdr:rowOff>83342</xdr:rowOff>
    </xdr:from>
    <xdr:to>
      <xdr:col>0</xdr:col>
      <xdr:colOff>2000250</xdr:colOff>
      <xdr:row>18</xdr:row>
      <xdr:rowOff>154779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693FA851-7770-46D4-AD17-27F0B0E363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07342"/>
              <a:ext cx="20002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71437</xdr:colOff>
      <xdr:row>6</xdr:row>
      <xdr:rowOff>101203</xdr:rowOff>
    </xdr:from>
    <xdr:to>
      <xdr:col>10</xdr:col>
      <xdr:colOff>183655</xdr:colOff>
      <xdr:row>16</xdr:row>
      <xdr:rowOff>53577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01F5FBF6-CEAB-4A60-8C38-55A4754C2648}"/>
            </a:ext>
          </a:extLst>
        </xdr:cNvPr>
        <xdr:cNvGrpSpPr/>
      </xdr:nvGrpSpPr>
      <xdr:grpSpPr>
        <a:xfrm>
          <a:off x="2369343" y="1756172"/>
          <a:ext cx="5220000" cy="1916905"/>
          <a:chOff x="2976562" y="1928813"/>
          <a:chExt cx="4572000" cy="1916905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33A0330E-C819-4EC7-93F8-1EAD2716197A}"/>
              </a:ext>
            </a:extLst>
          </xdr:cNvPr>
          <xdr:cNvSpPr/>
        </xdr:nvSpPr>
        <xdr:spPr>
          <a:xfrm>
            <a:off x="2976562" y="1976437"/>
            <a:ext cx="4572000" cy="186928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1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4322C8FD-7A44-41D3-8362-ACB03DCE1DF3}"/>
              </a:ext>
            </a:extLst>
          </xdr:cNvPr>
          <xdr:cNvSpPr/>
        </xdr:nvSpPr>
        <xdr:spPr>
          <a:xfrm>
            <a:off x="4345781" y="2131218"/>
            <a:ext cx="2964657" cy="154781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E5A6FD8-1359-4B5F-AD42-3F0B9A46C586}" type="TxLink">
              <a:rPr lang="en-US" sz="40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R$ 990,00 </a:t>
            </a:fld>
            <a:endParaRPr lang="pt-BR" sz="4000">
              <a:solidFill>
                <a:srgbClr val="2AE6B1"/>
              </a:solidFill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FF439436-B785-4B2D-9027-015608F38F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83718" y="2345532"/>
            <a:ext cx="1371600" cy="1152525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CBF8FAF7-3E26-4206-BB15-D5C992A82485}"/>
              </a:ext>
            </a:extLst>
          </xdr:cNvPr>
          <xdr:cNvSpPr/>
        </xdr:nvSpPr>
        <xdr:spPr>
          <a:xfrm>
            <a:off x="2988469" y="1928813"/>
            <a:ext cx="4560093" cy="476249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SUBCRIPTIONS EA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SEASON PASS 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13</xdr:col>
      <xdr:colOff>404812</xdr:colOff>
      <xdr:row>6</xdr:row>
      <xdr:rowOff>101203</xdr:rowOff>
    </xdr:from>
    <xdr:to>
      <xdr:col>21</xdr:col>
      <xdr:colOff>100312</xdr:colOff>
      <xdr:row>16</xdr:row>
      <xdr:rowOff>53577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764FCE7F-6BEB-46F8-BB05-E2EE7AE2F056}"/>
            </a:ext>
          </a:extLst>
        </xdr:cNvPr>
        <xdr:cNvGrpSpPr/>
      </xdr:nvGrpSpPr>
      <xdr:grpSpPr>
        <a:xfrm>
          <a:off x="9691687" y="1756172"/>
          <a:ext cx="5220000" cy="1916905"/>
          <a:chOff x="8227219" y="2500312"/>
          <a:chExt cx="4572000" cy="1916905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68037C97-DEA1-4077-B9E7-1F0DB061694C}"/>
              </a:ext>
            </a:extLst>
          </xdr:cNvPr>
          <xdr:cNvGrpSpPr/>
        </xdr:nvGrpSpPr>
        <xdr:grpSpPr>
          <a:xfrm>
            <a:off x="8227219" y="2500312"/>
            <a:ext cx="4572000" cy="1916905"/>
            <a:chOff x="2976562" y="1928813"/>
            <a:chExt cx="4572000" cy="1916905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6630CA68-7EE2-4540-8F38-336DB84006A5}"/>
                </a:ext>
              </a:extLst>
            </xdr:cNvPr>
            <xdr:cNvSpPr/>
          </xdr:nvSpPr>
          <xdr:spPr>
            <a:xfrm>
              <a:off x="2976562" y="1976437"/>
              <a:ext cx="4572000" cy="1869281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43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887CEF8D-ED06-47F4-A454-2B67498A23ED}"/>
                </a:ext>
              </a:extLst>
            </xdr:cNvPr>
            <xdr:cNvSpPr/>
          </xdr:nvSpPr>
          <xdr:spPr>
            <a:xfrm>
              <a:off x="4345781" y="2131218"/>
              <a:ext cx="2964657" cy="1547814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250C8A4-08C8-45FB-A641-9F36AF1A38D6}" type="TxLink">
                <a:rPr lang="en-US" sz="4000" b="0" i="0" u="none" strike="noStrike">
                  <a:solidFill>
                    <a:srgbClr val="2AE6B1"/>
                  </a:solidFill>
                  <a:latin typeface="Aptos Narrow"/>
                </a:rPr>
                <a:t> R$ 1.140,00 </a:t>
              </a:fld>
              <a:endParaRPr lang="pt-BR" sz="59500">
                <a:solidFill>
                  <a:srgbClr val="2AE6B1"/>
                </a:solidFill>
              </a:endParaRPr>
            </a:p>
          </xdr:txBody>
        </xdr:sp>
        <xdr:sp macro="" textlink="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17D59D9E-DFD8-4B62-8717-D3EB1EAB81B2}"/>
                </a:ext>
              </a:extLst>
            </xdr:cNvPr>
            <xdr:cNvSpPr/>
          </xdr:nvSpPr>
          <xdr:spPr>
            <a:xfrm>
              <a:off x="2988469" y="1928813"/>
              <a:ext cx="4560093" cy="476249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SUBCRIPTIONS MANICRAFT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SEASON PASS 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2AE7BC46-C4C8-4C7E-B60B-0A088AB6E034}"/>
              </a:ext>
            </a:extLst>
          </xdr:cNvPr>
          <xdr:cNvGrpSpPr/>
        </xdr:nvGrpSpPr>
        <xdr:grpSpPr>
          <a:xfrm>
            <a:off x="8512968" y="3083717"/>
            <a:ext cx="1278014" cy="750095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05263043-BD03-444A-B8EF-9A96356F5B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517DEF20-D4F8-4614-81B2-94CD8DD7CD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59531</xdr:colOff>
      <xdr:row>18</xdr:row>
      <xdr:rowOff>119063</xdr:rowOff>
    </xdr:from>
    <xdr:to>
      <xdr:col>21</xdr:col>
      <xdr:colOff>119062</xdr:colOff>
      <xdr:row>39</xdr:row>
      <xdr:rowOff>142876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CF72142A-7745-41F2-B625-79F5884B9B88}"/>
            </a:ext>
          </a:extLst>
        </xdr:cNvPr>
        <xdr:cNvGrpSpPr/>
      </xdr:nvGrpSpPr>
      <xdr:grpSpPr>
        <a:xfrm>
          <a:off x="2357437" y="4095751"/>
          <a:ext cx="12573000" cy="3774281"/>
          <a:chOff x="2333625" y="4262437"/>
          <a:chExt cx="10346531" cy="3595688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77A7C036-5C6B-4123-AF5D-2A31597FBBD2}"/>
              </a:ext>
            </a:extLst>
          </xdr:cNvPr>
          <xdr:cNvGrpSpPr/>
        </xdr:nvGrpSpPr>
        <xdr:grpSpPr>
          <a:xfrm>
            <a:off x="2333625" y="4262437"/>
            <a:ext cx="10346531" cy="3595688"/>
            <a:chOff x="2250279" y="1464467"/>
            <a:chExt cx="4941095" cy="3167065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8DC71761-1E1B-4214-9F9C-AEF9542B1E28}"/>
                </a:ext>
              </a:extLst>
            </xdr:cNvPr>
            <xdr:cNvSpPr/>
          </xdr:nvSpPr>
          <xdr:spPr>
            <a:xfrm>
              <a:off x="2250279" y="1464467"/>
              <a:ext cx="4941095" cy="3167065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BBD3C55F-C528-4B94-9E6B-79DE8063A094}"/>
                </a:ext>
              </a:extLst>
            </xdr:cNvPr>
            <xdr:cNvGraphicFramePr>
              <a:graphicFrameLocks/>
            </xdr:cNvGraphicFramePr>
          </xdr:nvGraphicFramePr>
          <xdr:xfrm>
            <a:off x="2407442" y="1624012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9C10CB7-AC80-4DA2-BF66-A9B1C98B6907}"/>
              </a:ext>
            </a:extLst>
          </xdr:cNvPr>
          <xdr:cNvSpPr/>
        </xdr:nvSpPr>
        <xdr:spPr>
          <a:xfrm>
            <a:off x="2345531" y="4083844"/>
            <a:ext cx="10334625" cy="678656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SUBCRIPTIONS XBOX GAME PASS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" refreshedDate="45760.720046180555" createdVersion="7" refreshedVersion="7" minRefreshableVersion="3" recordCount="295" xr:uid="{13073970-3D91-4F4F-81D2-BAC867773D2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3549379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x v="0"/>
  </r>
  <r>
    <n v="3232"/>
    <x v="1"/>
    <x v="1"/>
    <d v="2024-01-15T00:00:00"/>
    <x v="1"/>
    <n v="5"/>
    <x v="1"/>
    <x v="1"/>
    <x v="1"/>
    <x v="1"/>
    <n v="0"/>
    <n v="0"/>
    <x v="1"/>
  </r>
  <r>
    <n v="3233"/>
    <x v="2"/>
    <x v="2"/>
    <d v="2024-02-10T00:00:00"/>
    <x v="0"/>
    <n v="10"/>
    <x v="2"/>
    <x v="1"/>
    <x v="1"/>
    <x v="0"/>
    <n v="20"/>
    <n v="10"/>
    <x v="2"/>
  </r>
  <r>
    <n v="3234"/>
    <x v="3"/>
    <x v="0"/>
    <d v="2024-02-20T00:00:00"/>
    <x v="1"/>
    <n v="15"/>
    <x v="0"/>
    <x v="0"/>
    <x v="0"/>
    <x v="0"/>
    <n v="20"/>
    <n v="3"/>
    <x v="3"/>
  </r>
  <r>
    <n v="3235"/>
    <x v="4"/>
    <x v="1"/>
    <d v="2024-03-05T00:00:00"/>
    <x v="0"/>
    <n v="5"/>
    <x v="0"/>
    <x v="1"/>
    <x v="1"/>
    <x v="1"/>
    <n v="0"/>
    <n v="1"/>
    <x v="4"/>
  </r>
  <r>
    <n v="3236"/>
    <x v="5"/>
    <x v="2"/>
    <d v="2024-03-02T00:00:00"/>
    <x v="1"/>
    <n v="10"/>
    <x v="0"/>
    <x v="1"/>
    <x v="1"/>
    <x v="0"/>
    <n v="20"/>
    <n v="2"/>
    <x v="5"/>
  </r>
  <r>
    <n v="3237"/>
    <x v="6"/>
    <x v="0"/>
    <d v="2024-03-03T00:00:00"/>
    <x v="0"/>
    <n v="15"/>
    <x v="2"/>
    <x v="0"/>
    <x v="0"/>
    <x v="0"/>
    <n v="20"/>
    <n v="10"/>
    <x v="6"/>
  </r>
  <r>
    <n v="3238"/>
    <x v="7"/>
    <x v="1"/>
    <d v="2024-03-04T00:00:00"/>
    <x v="0"/>
    <n v="5"/>
    <x v="1"/>
    <x v="1"/>
    <x v="1"/>
    <x v="1"/>
    <n v="0"/>
    <n v="0"/>
    <x v="1"/>
  </r>
  <r>
    <n v="3239"/>
    <x v="8"/>
    <x v="0"/>
    <d v="2024-03-05T00:00:00"/>
    <x v="1"/>
    <n v="15"/>
    <x v="0"/>
    <x v="0"/>
    <x v="0"/>
    <x v="0"/>
    <n v="20"/>
    <n v="5"/>
    <x v="0"/>
  </r>
  <r>
    <n v="3240"/>
    <x v="9"/>
    <x v="2"/>
    <d v="2024-03-06T00:00:00"/>
    <x v="0"/>
    <n v="10"/>
    <x v="2"/>
    <x v="1"/>
    <x v="1"/>
    <x v="0"/>
    <n v="20"/>
    <n v="15"/>
    <x v="7"/>
  </r>
  <r>
    <n v="3241"/>
    <x v="10"/>
    <x v="1"/>
    <d v="2024-03-07T00:00:00"/>
    <x v="1"/>
    <n v="5"/>
    <x v="0"/>
    <x v="1"/>
    <x v="1"/>
    <x v="1"/>
    <n v="0"/>
    <n v="1"/>
    <x v="4"/>
  </r>
  <r>
    <n v="3242"/>
    <x v="11"/>
    <x v="0"/>
    <d v="2024-03-08T00:00:00"/>
    <x v="0"/>
    <n v="15"/>
    <x v="1"/>
    <x v="0"/>
    <x v="0"/>
    <x v="0"/>
    <n v="20"/>
    <n v="20"/>
    <x v="8"/>
  </r>
  <r>
    <n v="3243"/>
    <x v="12"/>
    <x v="2"/>
    <d v="2024-03-09T00:00:00"/>
    <x v="1"/>
    <n v="10"/>
    <x v="0"/>
    <x v="1"/>
    <x v="1"/>
    <x v="0"/>
    <n v="20"/>
    <n v="10"/>
    <x v="2"/>
  </r>
  <r>
    <n v="3244"/>
    <x v="13"/>
    <x v="1"/>
    <d v="2024-03-10T00:00:00"/>
    <x v="0"/>
    <n v="5"/>
    <x v="2"/>
    <x v="1"/>
    <x v="1"/>
    <x v="1"/>
    <n v="0"/>
    <n v="0"/>
    <x v="1"/>
  </r>
  <r>
    <n v="3245"/>
    <x v="14"/>
    <x v="0"/>
    <d v="2024-03-11T00:00:00"/>
    <x v="1"/>
    <n v="15"/>
    <x v="0"/>
    <x v="0"/>
    <x v="0"/>
    <x v="0"/>
    <n v="20"/>
    <n v="8"/>
    <x v="9"/>
  </r>
  <r>
    <n v="3246"/>
    <x v="15"/>
    <x v="2"/>
    <d v="2024-03-12T00:00:00"/>
    <x v="0"/>
    <n v="10"/>
    <x v="1"/>
    <x v="1"/>
    <x v="1"/>
    <x v="0"/>
    <n v="20"/>
    <n v="12"/>
    <x v="10"/>
  </r>
  <r>
    <n v="3247"/>
    <x v="16"/>
    <x v="1"/>
    <d v="2024-03-13T00:00:00"/>
    <x v="1"/>
    <n v="5"/>
    <x v="0"/>
    <x v="1"/>
    <x v="1"/>
    <x v="1"/>
    <n v="0"/>
    <n v="2"/>
    <x v="11"/>
  </r>
  <r>
    <n v="3248"/>
    <x v="17"/>
    <x v="0"/>
    <d v="2024-03-14T00:00:00"/>
    <x v="0"/>
    <n v="15"/>
    <x v="2"/>
    <x v="0"/>
    <x v="0"/>
    <x v="0"/>
    <n v="20"/>
    <n v="7"/>
    <x v="12"/>
  </r>
  <r>
    <n v="3249"/>
    <x v="18"/>
    <x v="2"/>
    <d v="2024-03-15T00:00:00"/>
    <x v="1"/>
    <n v="10"/>
    <x v="0"/>
    <x v="1"/>
    <x v="1"/>
    <x v="0"/>
    <n v="20"/>
    <n v="5"/>
    <x v="13"/>
  </r>
  <r>
    <n v="3250"/>
    <x v="19"/>
    <x v="1"/>
    <d v="2024-03-16T00:00:00"/>
    <x v="0"/>
    <n v="5"/>
    <x v="1"/>
    <x v="1"/>
    <x v="1"/>
    <x v="1"/>
    <n v="0"/>
    <n v="0"/>
    <x v="1"/>
  </r>
  <r>
    <n v="3251"/>
    <x v="20"/>
    <x v="0"/>
    <d v="2024-03-17T00:00:00"/>
    <x v="1"/>
    <n v="15"/>
    <x v="0"/>
    <x v="0"/>
    <x v="0"/>
    <x v="0"/>
    <n v="20"/>
    <n v="3"/>
    <x v="3"/>
  </r>
  <r>
    <n v="3252"/>
    <x v="21"/>
    <x v="2"/>
    <d v="2024-03-18T00:00:00"/>
    <x v="0"/>
    <n v="10"/>
    <x v="2"/>
    <x v="1"/>
    <x v="1"/>
    <x v="0"/>
    <n v="20"/>
    <n v="15"/>
    <x v="7"/>
  </r>
  <r>
    <n v="3253"/>
    <x v="22"/>
    <x v="1"/>
    <d v="2024-03-19T00:00:00"/>
    <x v="1"/>
    <n v="5"/>
    <x v="0"/>
    <x v="1"/>
    <x v="1"/>
    <x v="1"/>
    <n v="0"/>
    <n v="1"/>
    <x v="4"/>
  </r>
  <r>
    <n v="3254"/>
    <x v="23"/>
    <x v="0"/>
    <d v="2024-03-20T00:00:00"/>
    <x v="0"/>
    <n v="15"/>
    <x v="1"/>
    <x v="0"/>
    <x v="0"/>
    <x v="0"/>
    <n v="20"/>
    <n v="20"/>
    <x v="8"/>
  </r>
  <r>
    <n v="3255"/>
    <x v="24"/>
    <x v="2"/>
    <d v="2024-03-21T00:00:00"/>
    <x v="1"/>
    <n v="10"/>
    <x v="0"/>
    <x v="1"/>
    <x v="1"/>
    <x v="0"/>
    <n v="20"/>
    <n v="10"/>
    <x v="2"/>
  </r>
  <r>
    <n v="3256"/>
    <x v="25"/>
    <x v="1"/>
    <d v="2024-03-22T00:00:00"/>
    <x v="0"/>
    <n v="5"/>
    <x v="2"/>
    <x v="1"/>
    <x v="1"/>
    <x v="1"/>
    <n v="0"/>
    <n v="0"/>
    <x v="1"/>
  </r>
  <r>
    <n v="3257"/>
    <x v="26"/>
    <x v="0"/>
    <d v="2024-03-23T00:00:00"/>
    <x v="1"/>
    <n v="15"/>
    <x v="0"/>
    <x v="0"/>
    <x v="0"/>
    <x v="0"/>
    <n v="20"/>
    <n v="5"/>
    <x v="0"/>
  </r>
  <r>
    <n v="3258"/>
    <x v="27"/>
    <x v="2"/>
    <d v="2024-03-24T00:00:00"/>
    <x v="0"/>
    <n v="10"/>
    <x v="1"/>
    <x v="1"/>
    <x v="1"/>
    <x v="0"/>
    <n v="20"/>
    <n v="15"/>
    <x v="7"/>
  </r>
  <r>
    <n v="3259"/>
    <x v="28"/>
    <x v="1"/>
    <d v="2024-03-25T00:00:00"/>
    <x v="1"/>
    <n v="5"/>
    <x v="0"/>
    <x v="1"/>
    <x v="1"/>
    <x v="1"/>
    <n v="0"/>
    <n v="1"/>
    <x v="4"/>
  </r>
  <r>
    <n v="3260"/>
    <x v="29"/>
    <x v="0"/>
    <d v="2024-03-26T00:00:00"/>
    <x v="0"/>
    <n v="15"/>
    <x v="2"/>
    <x v="0"/>
    <x v="0"/>
    <x v="0"/>
    <n v="20"/>
    <n v="7"/>
    <x v="12"/>
  </r>
  <r>
    <n v="3261"/>
    <x v="30"/>
    <x v="2"/>
    <d v="2024-03-27T00:00:00"/>
    <x v="1"/>
    <n v="10"/>
    <x v="0"/>
    <x v="1"/>
    <x v="1"/>
    <x v="0"/>
    <n v="20"/>
    <n v="10"/>
    <x v="2"/>
  </r>
  <r>
    <n v="3262"/>
    <x v="31"/>
    <x v="1"/>
    <d v="2024-03-28T00:00:00"/>
    <x v="0"/>
    <n v="5"/>
    <x v="1"/>
    <x v="1"/>
    <x v="1"/>
    <x v="1"/>
    <n v="0"/>
    <n v="0"/>
    <x v="1"/>
  </r>
  <r>
    <n v="3263"/>
    <x v="32"/>
    <x v="0"/>
    <d v="2024-03-29T00:00:00"/>
    <x v="1"/>
    <n v="15"/>
    <x v="0"/>
    <x v="0"/>
    <x v="0"/>
    <x v="0"/>
    <n v="20"/>
    <n v="3"/>
    <x v="3"/>
  </r>
  <r>
    <n v="3264"/>
    <x v="33"/>
    <x v="2"/>
    <d v="2024-03-30T00:00:00"/>
    <x v="0"/>
    <n v="10"/>
    <x v="2"/>
    <x v="1"/>
    <x v="1"/>
    <x v="0"/>
    <n v="20"/>
    <n v="15"/>
    <x v="7"/>
  </r>
  <r>
    <n v="3265"/>
    <x v="34"/>
    <x v="1"/>
    <d v="2024-03-31T00:00:00"/>
    <x v="1"/>
    <n v="5"/>
    <x v="0"/>
    <x v="1"/>
    <x v="1"/>
    <x v="1"/>
    <n v="0"/>
    <n v="1"/>
    <x v="4"/>
  </r>
  <r>
    <n v="3266"/>
    <x v="35"/>
    <x v="1"/>
    <d v="2024-04-01T00:00:00"/>
    <x v="0"/>
    <n v="5"/>
    <x v="0"/>
    <x v="1"/>
    <x v="1"/>
    <x v="1"/>
    <n v="0"/>
    <n v="0"/>
    <x v="1"/>
  </r>
  <r>
    <n v="3267"/>
    <x v="36"/>
    <x v="0"/>
    <d v="2024-04-02T00:00:00"/>
    <x v="1"/>
    <n v="15"/>
    <x v="2"/>
    <x v="0"/>
    <x v="0"/>
    <x v="0"/>
    <n v="20"/>
    <n v="7"/>
    <x v="12"/>
  </r>
  <r>
    <n v="3268"/>
    <x v="37"/>
    <x v="2"/>
    <d v="2024-04-03T00:00:00"/>
    <x v="0"/>
    <n v="10"/>
    <x v="1"/>
    <x v="1"/>
    <x v="1"/>
    <x v="0"/>
    <n v="20"/>
    <n v="10"/>
    <x v="2"/>
  </r>
  <r>
    <n v="3269"/>
    <x v="38"/>
    <x v="1"/>
    <d v="2024-04-04T00:00:00"/>
    <x v="1"/>
    <n v="5"/>
    <x v="2"/>
    <x v="1"/>
    <x v="1"/>
    <x v="1"/>
    <n v="0"/>
    <n v="1"/>
    <x v="4"/>
  </r>
  <r>
    <n v="3270"/>
    <x v="39"/>
    <x v="0"/>
    <d v="2024-04-05T00:00:00"/>
    <x v="0"/>
    <n v="15"/>
    <x v="0"/>
    <x v="0"/>
    <x v="0"/>
    <x v="0"/>
    <n v="20"/>
    <n v="15"/>
    <x v="14"/>
  </r>
  <r>
    <n v="3271"/>
    <x v="40"/>
    <x v="2"/>
    <d v="2024-04-06T00:00:00"/>
    <x v="1"/>
    <n v="10"/>
    <x v="0"/>
    <x v="1"/>
    <x v="1"/>
    <x v="0"/>
    <n v="20"/>
    <n v="5"/>
    <x v="13"/>
  </r>
  <r>
    <n v="3272"/>
    <x v="41"/>
    <x v="1"/>
    <d v="2024-04-07T00:00:00"/>
    <x v="0"/>
    <n v="5"/>
    <x v="1"/>
    <x v="1"/>
    <x v="1"/>
    <x v="1"/>
    <n v="0"/>
    <n v="0"/>
    <x v="1"/>
  </r>
  <r>
    <n v="3273"/>
    <x v="42"/>
    <x v="0"/>
    <d v="2024-04-08T00:00:00"/>
    <x v="1"/>
    <n v="15"/>
    <x v="2"/>
    <x v="0"/>
    <x v="0"/>
    <x v="0"/>
    <n v="20"/>
    <n v="20"/>
    <x v="8"/>
  </r>
  <r>
    <n v="3274"/>
    <x v="43"/>
    <x v="2"/>
    <d v="2024-04-09T00:00:00"/>
    <x v="0"/>
    <n v="10"/>
    <x v="2"/>
    <x v="1"/>
    <x v="1"/>
    <x v="0"/>
    <n v="20"/>
    <n v="12"/>
    <x v="10"/>
  </r>
  <r>
    <n v="3275"/>
    <x v="44"/>
    <x v="1"/>
    <d v="2024-04-10T00:00:00"/>
    <x v="1"/>
    <n v="5"/>
    <x v="0"/>
    <x v="1"/>
    <x v="1"/>
    <x v="1"/>
    <n v="0"/>
    <n v="2"/>
    <x v="11"/>
  </r>
  <r>
    <n v="3276"/>
    <x v="45"/>
    <x v="0"/>
    <d v="2024-04-11T00:00:00"/>
    <x v="0"/>
    <n v="15"/>
    <x v="1"/>
    <x v="0"/>
    <x v="0"/>
    <x v="0"/>
    <n v="20"/>
    <n v="5"/>
    <x v="0"/>
  </r>
  <r>
    <n v="3277"/>
    <x v="46"/>
    <x v="2"/>
    <d v="2024-04-12T00:00:00"/>
    <x v="1"/>
    <n v="10"/>
    <x v="0"/>
    <x v="1"/>
    <x v="1"/>
    <x v="0"/>
    <n v="20"/>
    <n v="10"/>
    <x v="2"/>
  </r>
  <r>
    <n v="3278"/>
    <x v="47"/>
    <x v="1"/>
    <d v="2024-04-13T00:00:00"/>
    <x v="0"/>
    <n v="5"/>
    <x v="2"/>
    <x v="1"/>
    <x v="1"/>
    <x v="1"/>
    <n v="0"/>
    <n v="0"/>
    <x v="1"/>
  </r>
  <r>
    <n v="3279"/>
    <x v="48"/>
    <x v="0"/>
    <d v="2024-04-14T00:00:00"/>
    <x v="1"/>
    <n v="15"/>
    <x v="0"/>
    <x v="0"/>
    <x v="0"/>
    <x v="0"/>
    <n v="20"/>
    <n v="3"/>
    <x v="3"/>
  </r>
  <r>
    <n v="3280"/>
    <x v="49"/>
    <x v="2"/>
    <d v="2024-04-15T00:00:00"/>
    <x v="0"/>
    <n v="10"/>
    <x v="1"/>
    <x v="1"/>
    <x v="1"/>
    <x v="0"/>
    <n v="20"/>
    <n v="15"/>
    <x v="7"/>
  </r>
  <r>
    <n v="3281"/>
    <x v="50"/>
    <x v="1"/>
    <d v="2024-04-16T00:00:00"/>
    <x v="1"/>
    <n v="5"/>
    <x v="0"/>
    <x v="1"/>
    <x v="1"/>
    <x v="1"/>
    <n v="0"/>
    <n v="1"/>
    <x v="4"/>
  </r>
  <r>
    <n v="3282"/>
    <x v="51"/>
    <x v="0"/>
    <d v="2024-04-17T00:00:00"/>
    <x v="0"/>
    <n v="15"/>
    <x v="2"/>
    <x v="0"/>
    <x v="0"/>
    <x v="0"/>
    <n v="20"/>
    <n v="7"/>
    <x v="12"/>
  </r>
  <r>
    <n v="3283"/>
    <x v="52"/>
    <x v="2"/>
    <d v="2024-04-18T00:00:00"/>
    <x v="1"/>
    <n v="10"/>
    <x v="0"/>
    <x v="1"/>
    <x v="1"/>
    <x v="0"/>
    <n v="20"/>
    <n v="10"/>
    <x v="2"/>
  </r>
  <r>
    <n v="3284"/>
    <x v="53"/>
    <x v="1"/>
    <d v="2024-04-19T00:00:00"/>
    <x v="0"/>
    <n v="5"/>
    <x v="1"/>
    <x v="1"/>
    <x v="1"/>
    <x v="1"/>
    <n v="0"/>
    <n v="0"/>
    <x v="1"/>
  </r>
  <r>
    <n v="3285"/>
    <x v="54"/>
    <x v="0"/>
    <d v="2024-04-20T00:00:00"/>
    <x v="1"/>
    <n v="15"/>
    <x v="0"/>
    <x v="0"/>
    <x v="0"/>
    <x v="0"/>
    <n v="20"/>
    <n v="20"/>
    <x v="8"/>
  </r>
  <r>
    <n v="3286"/>
    <x v="55"/>
    <x v="2"/>
    <d v="2024-04-21T00:00:00"/>
    <x v="0"/>
    <n v="10"/>
    <x v="2"/>
    <x v="1"/>
    <x v="1"/>
    <x v="0"/>
    <n v="20"/>
    <n v="15"/>
    <x v="7"/>
  </r>
  <r>
    <n v="3287"/>
    <x v="56"/>
    <x v="1"/>
    <d v="2024-04-22T00:00:00"/>
    <x v="1"/>
    <n v="5"/>
    <x v="0"/>
    <x v="1"/>
    <x v="1"/>
    <x v="1"/>
    <n v="0"/>
    <n v="1"/>
    <x v="4"/>
  </r>
  <r>
    <n v="3288"/>
    <x v="57"/>
    <x v="0"/>
    <d v="2024-04-23T00:00:00"/>
    <x v="0"/>
    <n v="15"/>
    <x v="1"/>
    <x v="0"/>
    <x v="0"/>
    <x v="0"/>
    <n v="20"/>
    <n v="3"/>
    <x v="3"/>
  </r>
  <r>
    <n v="3289"/>
    <x v="58"/>
    <x v="2"/>
    <d v="2024-04-24T00:00:00"/>
    <x v="1"/>
    <n v="10"/>
    <x v="0"/>
    <x v="1"/>
    <x v="1"/>
    <x v="0"/>
    <n v="20"/>
    <n v="10"/>
    <x v="2"/>
  </r>
  <r>
    <n v="3290"/>
    <x v="59"/>
    <x v="1"/>
    <d v="2024-04-25T00:00:00"/>
    <x v="0"/>
    <n v="5"/>
    <x v="2"/>
    <x v="1"/>
    <x v="1"/>
    <x v="1"/>
    <n v="0"/>
    <n v="0"/>
    <x v="1"/>
  </r>
  <r>
    <n v="3291"/>
    <x v="60"/>
    <x v="0"/>
    <d v="2024-04-26T00:00:00"/>
    <x v="1"/>
    <n v="15"/>
    <x v="0"/>
    <x v="0"/>
    <x v="0"/>
    <x v="0"/>
    <n v="20"/>
    <n v="5"/>
    <x v="0"/>
  </r>
  <r>
    <n v="3292"/>
    <x v="61"/>
    <x v="2"/>
    <d v="2024-04-27T00:00:00"/>
    <x v="0"/>
    <n v="10"/>
    <x v="1"/>
    <x v="1"/>
    <x v="1"/>
    <x v="0"/>
    <n v="20"/>
    <n v="15"/>
    <x v="7"/>
  </r>
  <r>
    <n v="3293"/>
    <x v="62"/>
    <x v="1"/>
    <d v="2024-04-28T00:00:00"/>
    <x v="1"/>
    <n v="5"/>
    <x v="0"/>
    <x v="1"/>
    <x v="1"/>
    <x v="1"/>
    <n v="0"/>
    <n v="1"/>
    <x v="4"/>
  </r>
  <r>
    <n v="3294"/>
    <x v="63"/>
    <x v="0"/>
    <d v="2024-04-29T00:00:00"/>
    <x v="0"/>
    <n v="15"/>
    <x v="2"/>
    <x v="0"/>
    <x v="0"/>
    <x v="0"/>
    <n v="20"/>
    <n v="20"/>
    <x v="8"/>
  </r>
  <r>
    <n v="3295"/>
    <x v="64"/>
    <x v="2"/>
    <d v="2024-04-30T00:00:00"/>
    <x v="1"/>
    <n v="10"/>
    <x v="0"/>
    <x v="1"/>
    <x v="1"/>
    <x v="0"/>
    <n v="20"/>
    <n v="5"/>
    <x v="13"/>
  </r>
  <r>
    <n v="3296"/>
    <x v="65"/>
    <x v="1"/>
    <d v="2024-05-01T00:00:00"/>
    <x v="1"/>
    <n v="5"/>
    <x v="0"/>
    <x v="1"/>
    <x v="1"/>
    <x v="1"/>
    <n v="0"/>
    <n v="0"/>
    <x v="1"/>
  </r>
  <r>
    <n v="3297"/>
    <x v="66"/>
    <x v="0"/>
    <d v="2024-05-02T00:00:00"/>
    <x v="0"/>
    <n v="15"/>
    <x v="2"/>
    <x v="0"/>
    <x v="0"/>
    <x v="0"/>
    <n v="20"/>
    <n v="7"/>
    <x v="12"/>
  </r>
  <r>
    <n v="3298"/>
    <x v="67"/>
    <x v="2"/>
    <d v="2024-05-03T00:00:00"/>
    <x v="1"/>
    <n v="10"/>
    <x v="1"/>
    <x v="1"/>
    <x v="1"/>
    <x v="0"/>
    <n v="20"/>
    <n v="10"/>
    <x v="2"/>
  </r>
  <r>
    <n v="3299"/>
    <x v="68"/>
    <x v="1"/>
    <d v="2024-05-04T00:00:00"/>
    <x v="0"/>
    <n v="5"/>
    <x v="2"/>
    <x v="1"/>
    <x v="1"/>
    <x v="1"/>
    <n v="0"/>
    <n v="1"/>
    <x v="4"/>
  </r>
  <r>
    <n v="3300"/>
    <x v="69"/>
    <x v="0"/>
    <d v="2024-05-05T00:00:00"/>
    <x v="1"/>
    <n v="15"/>
    <x v="0"/>
    <x v="0"/>
    <x v="0"/>
    <x v="0"/>
    <n v="20"/>
    <n v="15"/>
    <x v="14"/>
  </r>
  <r>
    <n v="3301"/>
    <x v="70"/>
    <x v="2"/>
    <d v="2024-05-06T00:00:00"/>
    <x v="0"/>
    <n v="10"/>
    <x v="0"/>
    <x v="1"/>
    <x v="1"/>
    <x v="0"/>
    <n v="20"/>
    <n v="5"/>
    <x v="13"/>
  </r>
  <r>
    <n v="3302"/>
    <x v="71"/>
    <x v="1"/>
    <d v="2024-05-07T00:00:00"/>
    <x v="1"/>
    <n v="5"/>
    <x v="1"/>
    <x v="1"/>
    <x v="1"/>
    <x v="1"/>
    <n v="0"/>
    <n v="0"/>
    <x v="1"/>
  </r>
  <r>
    <n v="3303"/>
    <x v="72"/>
    <x v="0"/>
    <d v="2024-05-08T00:00:00"/>
    <x v="0"/>
    <n v="15"/>
    <x v="2"/>
    <x v="0"/>
    <x v="0"/>
    <x v="0"/>
    <n v="20"/>
    <n v="20"/>
    <x v="8"/>
  </r>
  <r>
    <n v="3304"/>
    <x v="73"/>
    <x v="2"/>
    <d v="2024-05-09T00:00:00"/>
    <x v="1"/>
    <n v="10"/>
    <x v="2"/>
    <x v="1"/>
    <x v="1"/>
    <x v="0"/>
    <n v="20"/>
    <n v="12"/>
    <x v="10"/>
  </r>
  <r>
    <n v="3305"/>
    <x v="74"/>
    <x v="1"/>
    <d v="2024-05-10T00:00:00"/>
    <x v="0"/>
    <n v="5"/>
    <x v="0"/>
    <x v="1"/>
    <x v="1"/>
    <x v="1"/>
    <n v="0"/>
    <n v="2"/>
    <x v="11"/>
  </r>
  <r>
    <n v="3306"/>
    <x v="75"/>
    <x v="0"/>
    <d v="2024-05-11T00:00:00"/>
    <x v="1"/>
    <n v="15"/>
    <x v="1"/>
    <x v="0"/>
    <x v="0"/>
    <x v="0"/>
    <n v="20"/>
    <n v="5"/>
    <x v="0"/>
  </r>
  <r>
    <n v="3307"/>
    <x v="76"/>
    <x v="2"/>
    <d v="2024-05-12T00:00:00"/>
    <x v="0"/>
    <n v="10"/>
    <x v="0"/>
    <x v="1"/>
    <x v="1"/>
    <x v="0"/>
    <n v="20"/>
    <n v="10"/>
    <x v="2"/>
  </r>
  <r>
    <n v="3308"/>
    <x v="77"/>
    <x v="1"/>
    <d v="2024-05-13T00:00:00"/>
    <x v="1"/>
    <n v="5"/>
    <x v="2"/>
    <x v="1"/>
    <x v="1"/>
    <x v="1"/>
    <n v="0"/>
    <n v="0"/>
    <x v="1"/>
  </r>
  <r>
    <n v="3309"/>
    <x v="78"/>
    <x v="0"/>
    <d v="2024-05-14T00:00:00"/>
    <x v="0"/>
    <n v="15"/>
    <x v="0"/>
    <x v="0"/>
    <x v="0"/>
    <x v="0"/>
    <n v="20"/>
    <n v="3"/>
    <x v="3"/>
  </r>
  <r>
    <n v="3310"/>
    <x v="79"/>
    <x v="2"/>
    <d v="2024-05-15T00:00:00"/>
    <x v="1"/>
    <n v="10"/>
    <x v="1"/>
    <x v="1"/>
    <x v="1"/>
    <x v="0"/>
    <n v="20"/>
    <n v="15"/>
    <x v="7"/>
  </r>
  <r>
    <n v="3311"/>
    <x v="80"/>
    <x v="1"/>
    <d v="2024-05-16T00:00:00"/>
    <x v="0"/>
    <n v="5"/>
    <x v="0"/>
    <x v="1"/>
    <x v="1"/>
    <x v="1"/>
    <n v="0"/>
    <n v="1"/>
    <x v="4"/>
  </r>
  <r>
    <n v="3312"/>
    <x v="81"/>
    <x v="0"/>
    <d v="2024-05-17T00:00:00"/>
    <x v="1"/>
    <n v="15"/>
    <x v="2"/>
    <x v="0"/>
    <x v="0"/>
    <x v="0"/>
    <n v="20"/>
    <n v="7"/>
    <x v="12"/>
  </r>
  <r>
    <n v="3313"/>
    <x v="82"/>
    <x v="2"/>
    <d v="2024-05-18T00:00:00"/>
    <x v="0"/>
    <n v="10"/>
    <x v="0"/>
    <x v="1"/>
    <x v="1"/>
    <x v="0"/>
    <n v="20"/>
    <n v="10"/>
    <x v="2"/>
  </r>
  <r>
    <n v="3314"/>
    <x v="83"/>
    <x v="1"/>
    <d v="2024-05-19T00:00:00"/>
    <x v="1"/>
    <n v="5"/>
    <x v="1"/>
    <x v="1"/>
    <x v="1"/>
    <x v="1"/>
    <n v="0"/>
    <n v="0"/>
    <x v="1"/>
  </r>
  <r>
    <n v="3315"/>
    <x v="84"/>
    <x v="0"/>
    <d v="2024-05-20T00:00:00"/>
    <x v="0"/>
    <n v="15"/>
    <x v="0"/>
    <x v="0"/>
    <x v="0"/>
    <x v="0"/>
    <n v="20"/>
    <n v="20"/>
    <x v="8"/>
  </r>
  <r>
    <n v="3316"/>
    <x v="85"/>
    <x v="2"/>
    <d v="2024-05-21T00:00:00"/>
    <x v="1"/>
    <n v="10"/>
    <x v="2"/>
    <x v="1"/>
    <x v="1"/>
    <x v="0"/>
    <n v="20"/>
    <n v="15"/>
    <x v="7"/>
  </r>
  <r>
    <n v="3317"/>
    <x v="86"/>
    <x v="1"/>
    <d v="2024-05-22T00:00:00"/>
    <x v="0"/>
    <n v="5"/>
    <x v="0"/>
    <x v="1"/>
    <x v="1"/>
    <x v="1"/>
    <n v="0"/>
    <n v="1"/>
    <x v="4"/>
  </r>
  <r>
    <n v="3318"/>
    <x v="87"/>
    <x v="0"/>
    <d v="2024-05-23T00:00:00"/>
    <x v="1"/>
    <n v="15"/>
    <x v="1"/>
    <x v="0"/>
    <x v="0"/>
    <x v="0"/>
    <n v="20"/>
    <n v="3"/>
    <x v="3"/>
  </r>
  <r>
    <n v="3319"/>
    <x v="88"/>
    <x v="2"/>
    <d v="2024-05-24T00:00:00"/>
    <x v="0"/>
    <n v="10"/>
    <x v="0"/>
    <x v="1"/>
    <x v="1"/>
    <x v="0"/>
    <n v="20"/>
    <n v="10"/>
    <x v="2"/>
  </r>
  <r>
    <n v="3320"/>
    <x v="89"/>
    <x v="1"/>
    <d v="2024-05-25T00:00:00"/>
    <x v="1"/>
    <n v="5"/>
    <x v="2"/>
    <x v="1"/>
    <x v="1"/>
    <x v="1"/>
    <n v="0"/>
    <n v="0"/>
    <x v="1"/>
  </r>
  <r>
    <n v="3321"/>
    <x v="90"/>
    <x v="0"/>
    <d v="2024-05-26T00:00:00"/>
    <x v="0"/>
    <n v="15"/>
    <x v="0"/>
    <x v="0"/>
    <x v="0"/>
    <x v="0"/>
    <n v="20"/>
    <n v="5"/>
    <x v="0"/>
  </r>
  <r>
    <n v="3322"/>
    <x v="91"/>
    <x v="2"/>
    <d v="2024-05-27T00:00:00"/>
    <x v="1"/>
    <n v="10"/>
    <x v="1"/>
    <x v="1"/>
    <x v="1"/>
    <x v="0"/>
    <n v="20"/>
    <n v="15"/>
    <x v="7"/>
  </r>
  <r>
    <n v="3323"/>
    <x v="92"/>
    <x v="1"/>
    <d v="2024-05-28T00:00:00"/>
    <x v="0"/>
    <n v="5"/>
    <x v="0"/>
    <x v="1"/>
    <x v="1"/>
    <x v="1"/>
    <n v="0"/>
    <n v="1"/>
    <x v="4"/>
  </r>
  <r>
    <n v="3324"/>
    <x v="93"/>
    <x v="0"/>
    <d v="2024-05-29T00:00:00"/>
    <x v="1"/>
    <n v="15"/>
    <x v="2"/>
    <x v="0"/>
    <x v="0"/>
    <x v="0"/>
    <n v="20"/>
    <n v="20"/>
    <x v="8"/>
  </r>
  <r>
    <n v="3325"/>
    <x v="94"/>
    <x v="2"/>
    <d v="2024-05-30T00:00:00"/>
    <x v="0"/>
    <n v="10"/>
    <x v="2"/>
    <x v="1"/>
    <x v="1"/>
    <x v="0"/>
    <n v="20"/>
    <n v="15"/>
    <x v="7"/>
  </r>
  <r>
    <n v="3326"/>
    <x v="95"/>
    <x v="1"/>
    <d v="2024-05-31T00:00:00"/>
    <x v="1"/>
    <n v="5"/>
    <x v="1"/>
    <x v="1"/>
    <x v="1"/>
    <x v="1"/>
    <n v="0"/>
    <n v="0"/>
    <x v="1"/>
  </r>
  <r>
    <n v="3327"/>
    <x v="96"/>
    <x v="0"/>
    <d v="2024-06-01T00:00:00"/>
    <x v="0"/>
    <n v="15"/>
    <x v="0"/>
    <x v="0"/>
    <x v="0"/>
    <x v="0"/>
    <n v="20"/>
    <n v="7"/>
    <x v="12"/>
  </r>
  <r>
    <n v="3328"/>
    <x v="97"/>
    <x v="2"/>
    <d v="2024-06-02T00:00:00"/>
    <x v="1"/>
    <n v="10"/>
    <x v="1"/>
    <x v="1"/>
    <x v="1"/>
    <x v="0"/>
    <n v="20"/>
    <n v="10"/>
    <x v="2"/>
  </r>
  <r>
    <n v="3329"/>
    <x v="98"/>
    <x v="1"/>
    <d v="2024-06-03T00:00:00"/>
    <x v="0"/>
    <n v="5"/>
    <x v="2"/>
    <x v="1"/>
    <x v="1"/>
    <x v="1"/>
    <n v="0"/>
    <n v="1"/>
    <x v="4"/>
  </r>
  <r>
    <n v="3330"/>
    <x v="99"/>
    <x v="0"/>
    <d v="2024-06-04T00:00:00"/>
    <x v="1"/>
    <n v="15"/>
    <x v="0"/>
    <x v="0"/>
    <x v="0"/>
    <x v="0"/>
    <n v="20"/>
    <n v="15"/>
    <x v="14"/>
  </r>
  <r>
    <n v="3331"/>
    <x v="100"/>
    <x v="2"/>
    <d v="2024-06-05T00:00:00"/>
    <x v="0"/>
    <n v="10"/>
    <x v="0"/>
    <x v="1"/>
    <x v="1"/>
    <x v="0"/>
    <n v="20"/>
    <n v="5"/>
    <x v="13"/>
  </r>
  <r>
    <n v="3332"/>
    <x v="101"/>
    <x v="1"/>
    <d v="2024-06-06T00:00:00"/>
    <x v="1"/>
    <n v="5"/>
    <x v="1"/>
    <x v="1"/>
    <x v="1"/>
    <x v="1"/>
    <n v="0"/>
    <n v="0"/>
    <x v="1"/>
  </r>
  <r>
    <n v="3333"/>
    <x v="102"/>
    <x v="0"/>
    <d v="2024-06-07T00:00:00"/>
    <x v="0"/>
    <n v="15"/>
    <x v="2"/>
    <x v="0"/>
    <x v="0"/>
    <x v="0"/>
    <n v="20"/>
    <n v="20"/>
    <x v="8"/>
  </r>
  <r>
    <n v="3334"/>
    <x v="103"/>
    <x v="2"/>
    <d v="2024-06-08T00:00:00"/>
    <x v="1"/>
    <n v="10"/>
    <x v="2"/>
    <x v="1"/>
    <x v="1"/>
    <x v="0"/>
    <n v="20"/>
    <n v="12"/>
    <x v="10"/>
  </r>
  <r>
    <n v="3335"/>
    <x v="104"/>
    <x v="1"/>
    <d v="2024-06-09T00:00:00"/>
    <x v="0"/>
    <n v="5"/>
    <x v="0"/>
    <x v="1"/>
    <x v="1"/>
    <x v="1"/>
    <n v="0"/>
    <n v="2"/>
    <x v="11"/>
  </r>
  <r>
    <n v="3336"/>
    <x v="105"/>
    <x v="1"/>
    <d v="2024-06-10T00:00:00"/>
    <x v="0"/>
    <n v="5"/>
    <x v="0"/>
    <x v="1"/>
    <x v="1"/>
    <x v="1"/>
    <n v="0"/>
    <n v="0"/>
    <x v="1"/>
  </r>
  <r>
    <n v="3337"/>
    <x v="106"/>
    <x v="0"/>
    <d v="2024-06-11T00:00:00"/>
    <x v="1"/>
    <n v="15"/>
    <x v="2"/>
    <x v="0"/>
    <x v="0"/>
    <x v="0"/>
    <n v="20"/>
    <n v="7"/>
    <x v="12"/>
  </r>
  <r>
    <n v="3338"/>
    <x v="107"/>
    <x v="2"/>
    <d v="2024-06-12T00:00:00"/>
    <x v="0"/>
    <n v="10"/>
    <x v="1"/>
    <x v="1"/>
    <x v="1"/>
    <x v="0"/>
    <n v="20"/>
    <n v="10"/>
    <x v="2"/>
  </r>
  <r>
    <n v="3339"/>
    <x v="108"/>
    <x v="1"/>
    <d v="2024-06-13T00:00:00"/>
    <x v="1"/>
    <n v="5"/>
    <x v="2"/>
    <x v="1"/>
    <x v="1"/>
    <x v="1"/>
    <n v="0"/>
    <n v="1"/>
    <x v="4"/>
  </r>
  <r>
    <n v="3340"/>
    <x v="109"/>
    <x v="0"/>
    <d v="2024-06-14T00:00:00"/>
    <x v="0"/>
    <n v="15"/>
    <x v="0"/>
    <x v="0"/>
    <x v="0"/>
    <x v="0"/>
    <n v="20"/>
    <n v="15"/>
    <x v="14"/>
  </r>
  <r>
    <n v="3341"/>
    <x v="110"/>
    <x v="2"/>
    <d v="2024-06-15T00:00:00"/>
    <x v="1"/>
    <n v="10"/>
    <x v="0"/>
    <x v="1"/>
    <x v="1"/>
    <x v="0"/>
    <n v="20"/>
    <n v="5"/>
    <x v="13"/>
  </r>
  <r>
    <n v="3342"/>
    <x v="111"/>
    <x v="1"/>
    <d v="2024-06-16T00:00:00"/>
    <x v="0"/>
    <n v="5"/>
    <x v="1"/>
    <x v="1"/>
    <x v="1"/>
    <x v="1"/>
    <n v="0"/>
    <n v="0"/>
    <x v="1"/>
  </r>
  <r>
    <n v="3343"/>
    <x v="112"/>
    <x v="0"/>
    <d v="2024-06-17T00:00:00"/>
    <x v="1"/>
    <n v="15"/>
    <x v="2"/>
    <x v="0"/>
    <x v="0"/>
    <x v="0"/>
    <n v="20"/>
    <n v="20"/>
    <x v="8"/>
  </r>
  <r>
    <n v="3344"/>
    <x v="113"/>
    <x v="2"/>
    <d v="2024-06-18T00:00:00"/>
    <x v="0"/>
    <n v="10"/>
    <x v="2"/>
    <x v="1"/>
    <x v="1"/>
    <x v="0"/>
    <n v="20"/>
    <n v="12"/>
    <x v="10"/>
  </r>
  <r>
    <n v="3345"/>
    <x v="114"/>
    <x v="1"/>
    <d v="2024-06-19T00:00:00"/>
    <x v="1"/>
    <n v="5"/>
    <x v="0"/>
    <x v="1"/>
    <x v="1"/>
    <x v="1"/>
    <n v="0"/>
    <n v="2"/>
    <x v="11"/>
  </r>
  <r>
    <n v="3346"/>
    <x v="115"/>
    <x v="0"/>
    <d v="2024-06-20T00:00:00"/>
    <x v="0"/>
    <n v="15"/>
    <x v="1"/>
    <x v="0"/>
    <x v="0"/>
    <x v="0"/>
    <n v="20"/>
    <n v="5"/>
    <x v="0"/>
  </r>
  <r>
    <n v="3347"/>
    <x v="116"/>
    <x v="2"/>
    <d v="2024-06-21T00:00:00"/>
    <x v="1"/>
    <n v="10"/>
    <x v="0"/>
    <x v="1"/>
    <x v="1"/>
    <x v="0"/>
    <n v="20"/>
    <n v="10"/>
    <x v="2"/>
  </r>
  <r>
    <n v="3348"/>
    <x v="117"/>
    <x v="1"/>
    <d v="2024-06-22T00:00:00"/>
    <x v="0"/>
    <n v="5"/>
    <x v="2"/>
    <x v="1"/>
    <x v="1"/>
    <x v="1"/>
    <n v="0"/>
    <n v="0"/>
    <x v="1"/>
  </r>
  <r>
    <n v="3349"/>
    <x v="93"/>
    <x v="0"/>
    <d v="2024-06-23T00:00:00"/>
    <x v="1"/>
    <n v="15"/>
    <x v="0"/>
    <x v="0"/>
    <x v="0"/>
    <x v="0"/>
    <n v="20"/>
    <n v="3"/>
    <x v="3"/>
  </r>
  <r>
    <n v="3350"/>
    <x v="118"/>
    <x v="2"/>
    <d v="2024-06-24T00:00:00"/>
    <x v="0"/>
    <n v="10"/>
    <x v="1"/>
    <x v="1"/>
    <x v="1"/>
    <x v="0"/>
    <n v="20"/>
    <n v="15"/>
    <x v="7"/>
  </r>
  <r>
    <n v="3351"/>
    <x v="119"/>
    <x v="1"/>
    <d v="2024-06-25T00:00:00"/>
    <x v="1"/>
    <n v="5"/>
    <x v="0"/>
    <x v="1"/>
    <x v="1"/>
    <x v="1"/>
    <n v="0"/>
    <n v="1"/>
    <x v="4"/>
  </r>
  <r>
    <n v="3352"/>
    <x v="120"/>
    <x v="0"/>
    <d v="2024-06-26T00:00:00"/>
    <x v="0"/>
    <n v="15"/>
    <x v="2"/>
    <x v="0"/>
    <x v="0"/>
    <x v="0"/>
    <n v="20"/>
    <n v="7"/>
    <x v="12"/>
  </r>
  <r>
    <n v="3353"/>
    <x v="121"/>
    <x v="2"/>
    <d v="2024-06-27T00:00:00"/>
    <x v="1"/>
    <n v="10"/>
    <x v="0"/>
    <x v="1"/>
    <x v="1"/>
    <x v="0"/>
    <n v="20"/>
    <n v="10"/>
    <x v="2"/>
  </r>
  <r>
    <n v="3354"/>
    <x v="122"/>
    <x v="1"/>
    <d v="2024-06-28T00:00:00"/>
    <x v="0"/>
    <n v="5"/>
    <x v="1"/>
    <x v="1"/>
    <x v="1"/>
    <x v="1"/>
    <n v="0"/>
    <n v="0"/>
    <x v="1"/>
  </r>
  <r>
    <n v="3355"/>
    <x v="123"/>
    <x v="0"/>
    <d v="2024-06-29T00:00:00"/>
    <x v="1"/>
    <n v="15"/>
    <x v="0"/>
    <x v="0"/>
    <x v="0"/>
    <x v="0"/>
    <n v="20"/>
    <n v="20"/>
    <x v="8"/>
  </r>
  <r>
    <n v="3356"/>
    <x v="124"/>
    <x v="2"/>
    <d v="2024-06-30T00:00:00"/>
    <x v="0"/>
    <n v="10"/>
    <x v="2"/>
    <x v="1"/>
    <x v="1"/>
    <x v="0"/>
    <n v="20"/>
    <n v="15"/>
    <x v="7"/>
  </r>
  <r>
    <n v="3357"/>
    <x v="125"/>
    <x v="1"/>
    <d v="2024-07-01T00:00:00"/>
    <x v="1"/>
    <n v="5"/>
    <x v="0"/>
    <x v="1"/>
    <x v="1"/>
    <x v="1"/>
    <n v="0"/>
    <n v="1"/>
    <x v="4"/>
  </r>
  <r>
    <n v="3358"/>
    <x v="126"/>
    <x v="0"/>
    <d v="2024-07-02T00:00:00"/>
    <x v="0"/>
    <n v="15"/>
    <x v="1"/>
    <x v="0"/>
    <x v="0"/>
    <x v="0"/>
    <n v="20"/>
    <n v="3"/>
    <x v="3"/>
  </r>
  <r>
    <n v="3359"/>
    <x v="127"/>
    <x v="2"/>
    <d v="2024-07-03T00:00:00"/>
    <x v="1"/>
    <n v="10"/>
    <x v="0"/>
    <x v="1"/>
    <x v="1"/>
    <x v="0"/>
    <n v="20"/>
    <n v="10"/>
    <x v="2"/>
  </r>
  <r>
    <n v="3360"/>
    <x v="128"/>
    <x v="1"/>
    <d v="2024-07-04T00:00:00"/>
    <x v="0"/>
    <n v="5"/>
    <x v="2"/>
    <x v="1"/>
    <x v="1"/>
    <x v="1"/>
    <n v="0"/>
    <n v="0"/>
    <x v="1"/>
  </r>
  <r>
    <n v="3361"/>
    <x v="129"/>
    <x v="0"/>
    <d v="2024-07-05T00:00:00"/>
    <x v="1"/>
    <n v="15"/>
    <x v="0"/>
    <x v="0"/>
    <x v="0"/>
    <x v="0"/>
    <n v="20"/>
    <n v="15"/>
    <x v="14"/>
  </r>
  <r>
    <n v="3362"/>
    <x v="130"/>
    <x v="2"/>
    <d v="2024-07-06T00:00:00"/>
    <x v="0"/>
    <n v="10"/>
    <x v="1"/>
    <x v="1"/>
    <x v="1"/>
    <x v="0"/>
    <n v="20"/>
    <n v="15"/>
    <x v="7"/>
  </r>
  <r>
    <n v="3363"/>
    <x v="131"/>
    <x v="1"/>
    <d v="2024-07-07T00:00:00"/>
    <x v="1"/>
    <n v="5"/>
    <x v="0"/>
    <x v="1"/>
    <x v="1"/>
    <x v="1"/>
    <n v="0"/>
    <n v="1"/>
    <x v="4"/>
  </r>
  <r>
    <n v="3364"/>
    <x v="132"/>
    <x v="0"/>
    <d v="2024-07-08T00:00:00"/>
    <x v="0"/>
    <n v="15"/>
    <x v="2"/>
    <x v="0"/>
    <x v="0"/>
    <x v="0"/>
    <n v="20"/>
    <n v="7"/>
    <x v="12"/>
  </r>
  <r>
    <n v="3365"/>
    <x v="133"/>
    <x v="2"/>
    <d v="2024-07-09T00:00:00"/>
    <x v="1"/>
    <n v="10"/>
    <x v="0"/>
    <x v="1"/>
    <x v="1"/>
    <x v="0"/>
    <n v="20"/>
    <n v="10"/>
    <x v="2"/>
  </r>
  <r>
    <n v="3366"/>
    <x v="134"/>
    <x v="1"/>
    <d v="2024-07-10T00:00:00"/>
    <x v="0"/>
    <n v="5"/>
    <x v="0"/>
    <x v="1"/>
    <x v="1"/>
    <x v="1"/>
    <n v="0"/>
    <n v="0"/>
    <x v="1"/>
  </r>
  <r>
    <n v="3367"/>
    <x v="135"/>
    <x v="0"/>
    <d v="2024-07-11T00:00:00"/>
    <x v="1"/>
    <n v="15"/>
    <x v="2"/>
    <x v="0"/>
    <x v="0"/>
    <x v="0"/>
    <n v="20"/>
    <n v="7"/>
    <x v="12"/>
  </r>
  <r>
    <n v="3368"/>
    <x v="136"/>
    <x v="2"/>
    <d v="2024-07-12T00:00:00"/>
    <x v="0"/>
    <n v="10"/>
    <x v="1"/>
    <x v="1"/>
    <x v="1"/>
    <x v="0"/>
    <n v="20"/>
    <n v="10"/>
    <x v="2"/>
  </r>
  <r>
    <n v="3369"/>
    <x v="137"/>
    <x v="1"/>
    <d v="2024-07-13T00:00:00"/>
    <x v="1"/>
    <n v="5"/>
    <x v="2"/>
    <x v="1"/>
    <x v="1"/>
    <x v="1"/>
    <n v="0"/>
    <n v="1"/>
    <x v="4"/>
  </r>
  <r>
    <n v="3370"/>
    <x v="138"/>
    <x v="0"/>
    <d v="2024-07-14T00:00:00"/>
    <x v="0"/>
    <n v="15"/>
    <x v="0"/>
    <x v="0"/>
    <x v="0"/>
    <x v="0"/>
    <n v="20"/>
    <n v="15"/>
    <x v="14"/>
  </r>
  <r>
    <n v="3371"/>
    <x v="139"/>
    <x v="2"/>
    <d v="2024-07-15T00:00:00"/>
    <x v="1"/>
    <n v="10"/>
    <x v="0"/>
    <x v="1"/>
    <x v="1"/>
    <x v="0"/>
    <n v="20"/>
    <n v="5"/>
    <x v="13"/>
  </r>
  <r>
    <n v="3372"/>
    <x v="140"/>
    <x v="1"/>
    <d v="2024-07-16T00:00:00"/>
    <x v="0"/>
    <n v="5"/>
    <x v="1"/>
    <x v="1"/>
    <x v="1"/>
    <x v="1"/>
    <n v="0"/>
    <n v="0"/>
    <x v="1"/>
  </r>
  <r>
    <n v="3373"/>
    <x v="141"/>
    <x v="0"/>
    <d v="2024-07-17T00:00:00"/>
    <x v="1"/>
    <n v="15"/>
    <x v="2"/>
    <x v="0"/>
    <x v="0"/>
    <x v="0"/>
    <n v="20"/>
    <n v="20"/>
    <x v="8"/>
  </r>
  <r>
    <n v="3374"/>
    <x v="142"/>
    <x v="2"/>
    <d v="2024-07-18T00:00:00"/>
    <x v="0"/>
    <n v="10"/>
    <x v="2"/>
    <x v="1"/>
    <x v="1"/>
    <x v="0"/>
    <n v="20"/>
    <n v="12"/>
    <x v="10"/>
  </r>
  <r>
    <n v="3375"/>
    <x v="143"/>
    <x v="1"/>
    <d v="2024-07-19T00:00:00"/>
    <x v="1"/>
    <n v="5"/>
    <x v="0"/>
    <x v="1"/>
    <x v="1"/>
    <x v="1"/>
    <n v="0"/>
    <n v="2"/>
    <x v="11"/>
  </r>
  <r>
    <n v="3376"/>
    <x v="144"/>
    <x v="0"/>
    <d v="2024-07-20T00:00:00"/>
    <x v="0"/>
    <n v="15"/>
    <x v="1"/>
    <x v="0"/>
    <x v="0"/>
    <x v="0"/>
    <n v="20"/>
    <n v="5"/>
    <x v="0"/>
  </r>
  <r>
    <n v="3377"/>
    <x v="145"/>
    <x v="2"/>
    <d v="2024-07-21T00:00:00"/>
    <x v="1"/>
    <n v="10"/>
    <x v="0"/>
    <x v="1"/>
    <x v="1"/>
    <x v="0"/>
    <n v="20"/>
    <n v="10"/>
    <x v="2"/>
  </r>
  <r>
    <n v="3378"/>
    <x v="146"/>
    <x v="1"/>
    <d v="2024-07-22T00:00:00"/>
    <x v="0"/>
    <n v="5"/>
    <x v="2"/>
    <x v="1"/>
    <x v="1"/>
    <x v="1"/>
    <n v="0"/>
    <n v="0"/>
    <x v="1"/>
  </r>
  <r>
    <n v="3379"/>
    <x v="147"/>
    <x v="0"/>
    <d v="2024-07-23T00:00:00"/>
    <x v="1"/>
    <n v="15"/>
    <x v="0"/>
    <x v="0"/>
    <x v="0"/>
    <x v="0"/>
    <n v="20"/>
    <n v="3"/>
    <x v="3"/>
  </r>
  <r>
    <n v="3380"/>
    <x v="148"/>
    <x v="2"/>
    <d v="2024-07-24T00:00:00"/>
    <x v="0"/>
    <n v="10"/>
    <x v="1"/>
    <x v="1"/>
    <x v="1"/>
    <x v="0"/>
    <n v="20"/>
    <n v="15"/>
    <x v="7"/>
  </r>
  <r>
    <n v="3381"/>
    <x v="149"/>
    <x v="1"/>
    <d v="2024-07-25T00:00:00"/>
    <x v="1"/>
    <n v="5"/>
    <x v="0"/>
    <x v="1"/>
    <x v="1"/>
    <x v="1"/>
    <n v="0"/>
    <n v="1"/>
    <x v="4"/>
  </r>
  <r>
    <n v="3382"/>
    <x v="150"/>
    <x v="0"/>
    <d v="2024-07-26T00:00:00"/>
    <x v="0"/>
    <n v="15"/>
    <x v="2"/>
    <x v="0"/>
    <x v="0"/>
    <x v="0"/>
    <n v="20"/>
    <n v="7"/>
    <x v="12"/>
  </r>
  <r>
    <n v="3383"/>
    <x v="151"/>
    <x v="2"/>
    <d v="2024-07-27T00:00:00"/>
    <x v="1"/>
    <n v="10"/>
    <x v="0"/>
    <x v="1"/>
    <x v="1"/>
    <x v="0"/>
    <n v="20"/>
    <n v="10"/>
    <x v="2"/>
  </r>
  <r>
    <n v="3384"/>
    <x v="152"/>
    <x v="1"/>
    <d v="2024-07-28T00:00:00"/>
    <x v="0"/>
    <n v="5"/>
    <x v="1"/>
    <x v="1"/>
    <x v="1"/>
    <x v="1"/>
    <n v="0"/>
    <n v="0"/>
    <x v="1"/>
  </r>
  <r>
    <n v="3385"/>
    <x v="153"/>
    <x v="0"/>
    <d v="2024-07-29T00:00:00"/>
    <x v="1"/>
    <n v="15"/>
    <x v="0"/>
    <x v="0"/>
    <x v="0"/>
    <x v="0"/>
    <n v="20"/>
    <n v="20"/>
    <x v="8"/>
  </r>
  <r>
    <n v="3386"/>
    <x v="154"/>
    <x v="2"/>
    <d v="2024-07-30T00:00:00"/>
    <x v="0"/>
    <n v="10"/>
    <x v="2"/>
    <x v="1"/>
    <x v="1"/>
    <x v="0"/>
    <n v="20"/>
    <n v="15"/>
    <x v="7"/>
  </r>
  <r>
    <n v="3387"/>
    <x v="155"/>
    <x v="1"/>
    <d v="2024-07-31T00:00:00"/>
    <x v="1"/>
    <n v="5"/>
    <x v="0"/>
    <x v="1"/>
    <x v="1"/>
    <x v="1"/>
    <n v="0"/>
    <n v="1"/>
    <x v="4"/>
  </r>
  <r>
    <n v="3388"/>
    <x v="156"/>
    <x v="0"/>
    <d v="2024-08-01T00:00:00"/>
    <x v="0"/>
    <n v="15"/>
    <x v="1"/>
    <x v="0"/>
    <x v="0"/>
    <x v="0"/>
    <n v="20"/>
    <n v="3"/>
    <x v="3"/>
  </r>
  <r>
    <n v="3389"/>
    <x v="157"/>
    <x v="2"/>
    <d v="2024-08-02T00:00:00"/>
    <x v="1"/>
    <n v="10"/>
    <x v="0"/>
    <x v="1"/>
    <x v="1"/>
    <x v="0"/>
    <n v="20"/>
    <n v="10"/>
    <x v="2"/>
  </r>
  <r>
    <n v="3390"/>
    <x v="158"/>
    <x v="1"/>
    <d v="2024-08-03T00:00:00"/>
    <x v="0"/>
    <n v="5"/>
    <x v="2"/>
    <x v="1"/>
    <x v="1"/>
    <x v="1"/>
    <n v="0"/>
    <n v="0"/>
    <x v="1"/>
  </r>
  <r>
    <n v="3391"/>
    <x v="58"/>
    <x v="0"/>
    <d v="2024-08-04T00:00:00"/>
    <x v="1"/>
    <n v="15"/>
    <x v="0"/>
    <x v="0"/>
    <x v="0"/>
    <x v="0"/>
    <n v="20"/>
    <n v="15"/>
    <x v="14"/>
  </r>
  <r>
    <n v="3392"/>
    <x v="159"/>
    <x v="2"/>
    <d v="2024-08-05T00:00:00"/>
    <x v="0"/>
    <n v="10"/>
    <x v="1"/>
    <x v="1"/>
    <x v="1"/>
    <x v="0"/>
    <n v="20"/>
    <n v="15"/>
    <x v="7"/>
  </r>
  <r>
    <n v="3393"/>
    <x v="160"/>
    <x v="1"/>
    <d v="2024-08-06T00:00:00"/>
    <x v="1"/>
    <n v="5"/>
    <x v="0"/>
    <x v="1"/>
    <x v="1"/>
    <x v="1"/>
    <n v="0"/>
    <n v="1"/>
    <x v="4"/>
  </r>
  <r>
    <n v="3394"/>
    <x v="161"/>
    <x v="0"/>
    <d v="2024-08-07T00:00:00"/>
    <x v="0"/>
    <n v="15"/>
    <x v="2"/>
    <x v="0"/>
    <x v="0"/>
    <x v="0"/>
    <n v="20"/>
    <n v="7"/>
    <x v="12"/>
  </r>
  <r>
    <n v="3395"/>
    <x v="162"/>
    <x v="2"/>
    <d v="2024-08-08T00:00:00"/>
    <x v="1"/>
    <n v="10"/>
    <x v="0"/>
    <x v="1"/>
    <x v="1"/>
    <x v="0"/>
    <n v="20"/>
    <n v="10"/>
    <x v="2"/>
  </r>
  <r>
    <n v="3396"/>
    <x v="163"/>
    <x v="1"/>
    <d v="2024-08-09T00:00:00"/>
    <x v="0"/>
    <n v="5"/>
    <x v="1"/>
    <x v="1"/>
    <x v="1"/>
    <x v="1"/>
    <n v="0"/>
    <n v="0"/>
    <x v="1"/>
  </r>
  <r>
    <n v="3397"/>
    <x v="90"/>
    <x v="0"/>
    <d v="2024-08-10T00:00:00"/>
    <x v="1"/>
    <n v="15"/>
    <x v="0"/>
    <x v="0"/>
    <x v="0"/>
    <x v="0"/>
    <n v="20"/>
    <n v="20"/>
    <x v="8"/>
  </r>
  <r>
    <n v="3398"/>
    <x v="164"/>
    <x v="2"/>
    <d v="2024-08-11T00:00:00"/>
    <x v="0"/>
    <n v="10"/>
    <x v="2"/>
    <x v="1"/>
    <x v="1"/>
    <x v="0"/>
    <n v="20"/>
    <n v="15"/>
    <x v="7"/>
  </r>
  <r>
    <n v="3399"/>
    <x v="165"/>
    <x v="1"/>
    <d v="2024-08-12T00:00:00"/>
    <x v="1"/>
    <n v="5"/>
    <x v="0"/>
    <x v="1"/>
    <x v="1"/>
    <x v="1"/>
    <n v="0"/>
    <n v="1"/>
    <x v="4"/>
  </r>
  <r>
    <n v="3400"/>
    <x v="166"/>
    <x v="0"/>
    <d v="2024-08-13T00:00:00"/>
    <x v="0"/>
    <n v="15"/>
    <x v="1"/>
    <x v="0"/>
    <x v="0"/>
    <x v="0"/>
    <n v="20"/>
    <n v="5"/>
    <x v="0"/>
  </r>
  <r>
    <n v="3401"/>
    <x v="167"/>
    <x v="2"/>
    <d v="2024-08-14T00:00:00"/>
    <x v="1"/>
    <n v="10"/>
    <x v="0"/>
    <x v="1"/>
    <x v="1"/>
    <x v="0"/>
    <n v="20"/>
    <n v="10"/>
    <x v="2"/>
  </r>
  <r>
    <n v="3402"/>
    <x v="168"/>
    <x v="1"/>
    <d v="2024-08-15T00:00:00"/>
    <x v="0"/>
    <n v="5"/>
    <x v="2"/>
    <x v="1"/>
    <x v="1"/>
    <x v="1"/>
    <n v="0"/>
    <n v="0"/>
    <x v="1"/>
  </r>
  <r>
    <n v="3403"/>
    <x v="169"/>
    <x v="0"/>
    <d v="2024-08-16T00:00:00"/>
    <x v="1"/>
    <n v="15"/>
    <x v="0"/>
    <x v="0"/>
    <x v="0"/>
    <x v="0"/>
    <n v="20"/>
    <n v="3"/>
    <x v="3"/>
  </r>
  <r>
    <n v="3404"/>
    <x v="170"/>
    <x v="2"/>
    <d v="2024-08-17T00:00:00"/>
    <x v="0"/>
    <n v="10"/>
    <x v="1"/>
    <x v="1"/>
    <x v="1"/>
    <x v="0"/>
    <n v="20"/>
    <n v="15"/>
    <x v="7"/>
  </r>
  <r>
    <n v="3405"/>
    <x v="171"/>
    <x v="1"/>
    <d v="2024-08-18T00:00:00"/>
    <x v="1"/>
    <n v="5"/>
    <x v="0"/>
    <x v="1"/>
    <x v="1"/>
    <x v="1"/>
    <n v="0"/>
    <n v="1"/>
    <x v="4"/>
  </r>
  <r>
    <n v="3406"/>
    <x v="172"/>
    <x v="1"/>
    <d v="2024-08-19T00:00:00"/>
    <x v="0"/>
    <n v="5"/>
    <x v="0"/>
    <x v="1"/>
    <x v="1"/>
    <x v="1"/>
    <n v="0"/>
    <n v="0"/>
    <x v="1"/>
  </r>
  <r>
    <n v="3407"/>
    <x v="173"/>
    <x v="0"/>
    <d v="2024-08-20T00:00:00"/>
    <x v="1"/>
    <n v="15"/>
    <x v="2"/>
    <x v="0"/>
    <x v="0"/>
    <x v="0"/>
    <n v="20"/>
    <n v="7"/>
    <x v="12"/>
  </r>
  <r>
    <n v="3408"/>
    <x v="174"/>
    <x v="2"/>
    <d v="2024-08-21T00:00:00"/>
    <x v="0"/>
    <n v="10"/>
    <x v="1"/>
    <x v="1"/>
    <x v="1"/>
    <x v="0"/>
    <n v="20"/>
    <n v="10"/>
    <x v="2"/>
  </r>
  <r>
    <n v="3409"/>
    <x v="175"/>
    <x v="1"/>
    <d v="2024-08-22T00:00:00"/>
    <x v="1"/>
    <n v="5"/>
    <x v="2"/>
    <x v="1"/>
    <x v="1"/>
    <x v="1"/>
    <n v="0"/>
    <n v="1"/>
    <x v="4"/>
  </r>
  <r>
    <n v="3410"/>
    <x v="176"/>
    <x v="0"/>
    <d v="2024-08-23T00:00:00"/>
    <x v="0"/>
    <n v="15"/>
    <x v="0"/>
    <x v="0"/>
    <x v="0"/>
    <x v="0"/>
    <n v="20"/>
    <n v="15"/>
    <x v="14"/>
  </r>
  <r>
    <n v="3411"/>
    <x v="177"/>
    <x v="2"/>
    <d v="2024-08-24T00:00:00"/>
    <x v="1"/>
    <n v="10"/>
    <x v="0"/>
    <x v="1"/>
    <x v="1"/>
    <x v="0"/>
    <n v="20"/>
    <n v="5"/>
    <x v="13"/>
  </r>
  <r>
    <n v="3412"/>
    <x v="178"/>
    <x v="1"/>
    <d v="2024-08-25T00:00:00"/>
    <x v="0"/>
    <n v="5"/>
    <x v="1"/>
    <x v="1"/>
    <x v="1"/>
    <x v="1"/>
    <n v="0"/>
    <n v="0"/>
    <x v="1"/>
  </r>
  <r>
    <n v="3413"/>
    <x v="179"/>
    <x v="0"/>
    <d v="2024-08-26T00:00:00"/>
    <x v="1"/>
    <n v="15"/>
    <x v="2"/>
    <x v="0"/>
    <x v="0"/>
    <x v="0"/>
    <n v="20"/>
    <n v="20"/>
    <x v="8"/>
  </r>
  <r>
    <n v="3414"/>
    <x v="180"/>
    <x v="2"/>
    <d v="2024-08-27T00:00:00"/>
    <x v="0"/>
    <n v="10"/>
    <x v="2"/>
    <x v="1"/>
    <x v="1"/>
    <x v="0"/>
    <n v="20"/>
    <n v="12"/>
    <x v="10"/>
  </r>
  <r>
    <n v="3415"/>
    <x v="181"/>
    <x v="1"/>
    <d v="2024-08-28T00:00:00"/>
    <x v="1"/>
    <n v="5"/>
    <x v="0"/>
    <x v="1"/>
    <x v="1"/>
    <x v="1"/>
    <n v="0"/>
    <n v="2"/>
    <x v="11"/>
  </r>
  <r>
    <n v="3416"/>
    <x v="182"/>
    <x v="0"/>
    <d v="2024-08-29T00:00:00"/>
    <x v="0"/>
    <n v="15"/>
    <x v="1"/>
    <x v="0"/>
    <x v="0"/>
    <x v="0"/>
    <n v="20"/>
    <n v="5"/>
    <x v="0"/>
  </r>
  <r>
    <n v="3417"/>
    <x v="183"/>
    <x v="2"/>
    <d v="2024-08-30T00:00:00"/>
    <x v="1"/>
    <n v="10"/>
    <x v="0"/>
    <x v="1"/>
    <x v="1"/>
    <x v="0"/>
    <n v="20"/>
    <n v="10"/>
    <x v="2"/>
  </r>
  <r>
    <n v="3418"/>
    <x v="184"/>
    <x v="1"/>
    <d v="2024-08-31T00:00:00"/>
    <x v="0"/>
    <n v="5"/>
    <x v="2"/>
    <x v="1"/>
    <x v="1"/>
    <x v="1"/>
    <n v="0"/>
    <n v="0"/>
    <x v="1"/>
  </r>
  <r>
    <n v="3419"/>
    <x v="185"/>
    <x v="0"/>
    <d v="2024-09-01T00:00:00"/>
    <x v="1"/>
    <n v="15"/>
    <x v="0"/>
    <x v="0"/>
    <x v="0"/>
    <x v="0"/>
    <n v="20"/>
    <n v="3"/>
    <x v="3"/>
  </r>
  <r>
    <n v="3420"/>
    <x v="186"/>
    <x v="2"/>
    <d v="2024-09-02T00:00:00"/>
    <x v="0"/>
    <n v="10"/>
    <x v="1"/>
    <x v="1"/>
    <x v="1"/>
    <x v="0"/>
    <n v="20"/>
    <n v="15"/>
    <x v="7"/>
  </r>
  <r>
    <n v="3421"/>
    <x v="15"/>
    <x v="1"/>
    <d v="2024-09-03T00:00:00"/>
    <x v="1"/>
    <n v="5"/>
    <x v="0"/>
    <x v="1"/>
    <x v="1"/>
    <x v="1"/>
    <n v="0"/>
    <n v="1"/>
    <x v="4"/>
  </r>
  <r>
    <n v="3422"/>
    <x v="187"/>
    <x v="0"/>
    <d v="2024-09-04T00:00:00"/>
    <x v="0"/>
    <n v="15"/>
    <x v="2"/>
    <x v="0"/>
    <x v="0"/>
    <x v="0"/>
    <n v="20"/>
    <n v="7"/>
    <x v="12"/>
  </r>
  <r>
    <n v="3423"/>
    <x v="188"/>
    <x v="2"/>
    <d v="2024-09-05T00:00:00"/>
    <x v="1"/>
    <n v="10"/>
    <x v="0"/>
    <x v="1"/>
    <x v="1"/>
    <x v="0"/>
    <n v="20"/>
    <n v="10"/>
    <x v="2"/>
  </r>
  <r>
    <n v="3424"/>
    <x v="14"/>
    <x v="1"/>
    <d v="2024-09-06T00:00:00"/>
    <x v="0"/>
    <n v="5"/>
    <x v="1"/>
    <x v="1"/>
    <x v="1"/>
    <x v="1"/>
    <n v="0"/>
    <n v="0"/>
    <x v="1"/>
  </r>
  <r>
    <n v="3425"/>
    <x v="189"/>
    <x v="0"/>
    <d v="2024-09-07T00:00:00"/>
    <x v="1"/>
    <n v="15"/>
    <x v="0"/>
    <x v="0"/>
    <x v="0"/>
    <x v="0"/>
    <n v="20"/>
    <n v="20"/>
    <x v="8"/>
  </r>
  <r>
    <n v="3426"/>
    <x v="167"/>
    <x v="2"/>
    <d v="2024-09-08T00:00:00"/>
    <x v="0"/>
    <n v="10"/>
    <x v="2"/>
    <x v="1"/>
    <x v="1"/>
    <x v="0"/>
    <n v="20"/>
    <n v="15"/>
    <x v="7"/>
  </r>
  <r>
    <n v="3427"/>
    <x v="190"/>
    <x v="1"/>
    <d v="2024-09-09T00:00:00"/>
    <x v="1"/>
    <n v="5"/>
    <x v="0"/>
    <x v="1"/>
    <x v="1"/>
    <x v="1"/>
    <n v="0"/>
    <n v="1"/>
    <x v="4"/>
  </r>
  <r>
    <n v="3428"/>
    <x v="191"/>
    <x v="0"/>
    <d v="2024-09-10T00:00:00"/>
    <x v="0"/>
    <n v="15"/>
    <x v="1"/>
    <x v="0"/>
    <x v="0"/>
    <x v="0"/>
    <n v="20"/>
    <n v="3"/>
    <x v="3"/>
  </r>
  <r>
    <n v="3429"/>
    <x v="192"/>
    <x v="2"/>
    <d v="2024-09-11T00:00:00"/>
    <x v="1"/>
    <n v="10"/>
    <x v="0"/>
    <x v="1"/>
    <x v="1"/>
    <x v="0"/>
    <n v="20"/>
    <n v="10"/>
    <x v="2"/>
  </r>
  <r>
    <n v="3430"/>
    <x v="193"/>
    <x v="1"/>
    <d v="2024-09-12T00:00:00"/>
    <x v="0"/>
    <n v="5"/>
    <x v="2"/>
    <x v="1"/>
    <x v="1"/>
    <x v="1"/>
    <n v="0"/>
    <n v="0"/>
    <x v="1"/>
  </r>
  <r>
    <n v="3431"/>
    <x v="194"/>
    <x v="0"/>
    <d v="2024-09-13T00:00:00"/>
    <x v="1"/>
    <n v="15"/>
    <x v="0"/>
    <x v="0"/>
    <x v="0"/>
    <x v="0"/>
    <n v="20"/>
    <n v="15"/>
    <x v="14"/>
  </r>
  <r>
    <n v="3432"/>
    <x v="195"/>
    <x v="2"/>
    <d v="2024-09-14T00:00:00"/>
    <x v="0"/>
    <n v="10"/>
    <x v="1"/>
    <x v="1"/>
    <x v="1"/>
    <x v="0"/>
    <n v="20"/>
    <n v="15"/>
    <x v="7"/>
  </r>
  <r>
    <n v="3433"/>
    <x v="196"/>
    <x v="1"/>
    <d v="2024-09-15T00:00:00"/>
    <x v="1"/>
    <n v="5"/>
    <x v="0"/>
    <x v="1"/>
    <x v="1"/>
    <x v="1"/>
    <n v="0"/>
    <n v="1"/>
    <x v="4"/>
  </r>
  <r>
    <n v="3434"/>
    <x v="197"/>
    <x v="0"/>
    <d v="2024-09-16T00:00:00"/>
    <x v="0"/>
    <n v="15"/>
    <x v="2"/>
    <x v="0"/>
    <x v="0"/>
    <x v="0"/>
    <n v="20"/>
    <n v="7"/>
    <x v="12"/>
  </r>
  <r>
    <n v="3435"/>
    <x v="198"/>
    <x v="2"/>
    <d v="2024-09-17T00:00:00"/>
    <x v="1"/>
    <n v="10"/>
    <x v="0"/>
    <x v="1"/>
    <x v="1"/>
    <x v="0"/>
    <n v="20"/>
    <n v="10"/>
    <x v="2"/>
  </r>
  <r>
    <n v="3436"/>
    <x v="199"/>
    <x v="1"/>
    <d v="2024-09-18T00:00:00"/>
    <x v="0"/>
    <n v="5"/>
    <x v="0"/>
    <x v="1"/>
    <x v="1"/>
    <x v="1"/>
    <n v="0"/>
    <n v="0"/>
    <x v="1"/>
  </r>
  <r>
    <n v="3437"/>
    <x v="200"/>
    <x v="0"/>
    <d v="2024-09-19T00:00:00"/>
    <x v="1"/>
    <n v="15"/>
    <x v="2"/>
    <x v="0"/>
    <x v="0"/>
    <x v="0"/>
    <n v="20"/>
    <n v="7"/>
    <x v="12"/>
  </r>
  <r>
    <n v="3438"/>
    <x v="201"/>
    <x v="2"/>
    <d v="2024-09-20T00:00:00"/>
    <x v="0"/>
    <n v="10"/>
    <x v="1"/>
    <x v="1"/>
    <x v="1"/>
    <x v="0"/>
    <n v="20"/>
    <n v="10"/>
    <x v="2"/>
  </r>
  <r>
    <n v="3439"/>
    <x v="202"/>
    <x v="1"/>
    <d v="2024-09-21T00:00:00"/>
    <x v="1"/>
    <n v="5"/>
    <x v="2"/>
    <x v="1"/>
    <x v="1"/>
    <x v="1"/>
    <n v="0"/>
    <n v="1"/>
    <x v="4"/>
  </r>
  <r>
    <n v="3440"/>
    <x v="203"/>
    <x v="0"/>
    <d v="2024-09-22T00:00:00"/>
    <x v="0"/>
    <n v="15"/>
    <x v="0"/>
    <x v="0"/>
    <x v="0"/>
    <x v="0"/>
    <n v="20"/>
    <n v="15"/>
    <x v="14"/>
  </r>
  <r>
    <n v="3441"/>
    <x v="204"/>
    <x v="2"/>
    <d v="2024-09-23T00:00:00"/>
    <x v="1"/>
    <n v="10"/>
    <x v="0"/>
    <x v="1"/>
    <x v="1"/>
    <x v="0"/>
    <n v="20"/>
    <n v="5"/>
    <x v="13"/>
  </r>
  <r>
    <n v="3442"/>
    <x v="205"/>
    <x v="1"/>
    <d v="2024-09-24T00:00:00"/>
    <x v="0"/>
    <n v="5"/>
    <x v="1"/>
    <x v="1"/>
    <x v="1"/>
    <x v="1"/>
    <n v="0"/>
    <n v="0"/>
    <x v="1"/>
  </r>
  <r>
    <n v="3443"/>
    <x v="206"/>
    <x v="0"/>
    <d v="2024-09-25T00:00:00"/>
    <x v="1"/>
    <n v="15"/>
    <x v="2"/>
    <x v="0"/>
    <x v="0"/>
    <x v="0"/>
    <n v="20"/>
    <n v="20"/>
    <x v="8"/>
  </r>
  <r>
    <n v="3444"/>
    <x v="207"/>
    <x v="2"/>
    <d v="2024-09-26T00:00:00"/>
    <x v="0"/>
    <n v="10"/>
    <x v="2"/>
    <x v="1"/>
    <x v="1"/>
    <x v="0"/>
    <n v="20"/>
    <n v="12"/>
    <x v="10"/>
  </r>
  <r>
    <n v="3445"/>
    <x v="37"/>
    <x v="1"/>
    <d v="2024-09-27T00:00:00"/>
    <x v="1"/>
    <n v="5"/>
    <x v="0"/>
    <x v="1"/>
    <x v="1"/>
    <x v="1"/>
    <n v="0"/>
    <n v="2"/>
    <x v="11"/>
  </r>
  <r>
    <n v="3446"/>
    <x v="208"/>
    <x v="0"/>
    <d v="2024-09-28T00:00:00"/>
    <x v="0"/>
    <n v="15"/>
    <x v="1"/>
    <x v="0"/>
    <x v="0"/>
    <x v="0"/>
    <n v="20"/>
    <n v="5"/>
    <x v="0"/>
  </r>
  <r>
    <n v="3447"/>
    <x v="209"/>
    <x v="2"/>
    <d v="2024-09-29T00:00:00"/>
    <x v="1"/>
    <n v="10"/>
    <x v="0"/>
    <x v="1"/>
    <x v="1"/>
    <x v="0"/>
    <n v="20"/>
    <n v="10"/>
    <x v="2"/>
  </r>
  <r>
    <n v="3448"/>
    <x v="210"/>
    <x v="1"/>
    <d v="2024-09-30T00:00:00"/>
    <x v="0"/>
    <n v="5"/>
    <x v="2"/>
    <x v="1"/>
    <x v="1"/>
    <x v="1"/>
    <n v="0"/>
    <n v="0"/>
    <x v="1"/>
  </r>
  <r>
    <n v="3449"/>
    <x v="211"/>
    <x v="0"/>
    <d v="2024-10-01T00:00:00"/>
    <x v="1"/>
    <n v="15"/>
    <x v="0"/>
    <x v="0"/>
    <x v="0"/>
    <x v="0"/>
    <n v="20"/>
    <n v="3"/>
    <x v="3"/>
  </r>
  <r>
    <n v="3450"/>
    <x v="212"/>
    <x v="2"/>
    <d v="2024-10-02T00:00:00"/>
    <x v="0"/>
    <n v="10"/>
    <x v="1"/>
    <x v="1"/>
    <x v="1"/>
    <x v="0"/>
    <n v="20"/>
    <n v="15"/>
    <x v="7"/>
  </r>
  <r>
    <n v="3451"/>
    <x v="213"/>
    <x v="1"/>
    <d v="2024-10-03T00:00:00"/>
    <x v="1"/>
    <n v="5"/>
    <x v="0"/>
    <x v="1"/>
    <x v="1"/>
    <x v="1"/>
    <n v="0"/>
    <n v="1"/>
    <x v="4"/>
  </r>
  <r>
    <n v="3452"/>
    <x v="191"/>
    <x v="0"/>
    <d v="2024-10-04T00:00:00"/>
    <x v="0"/>
    <n v="15"/>
    <x v="2"/>
    <x v="0"/>
    <x v="0"/>
    <x v="0"/>
    <n v="20"/>
    <n v="7"/>
    <x v="12"/>
  </r>
  <r>
    <n v="3453"/>
    <x v="45"/>
    <x v="2"/>
    <d v="2024-10-05T00:00:00"/>
    <x v="1"/>
    <n v="10"/>
    <x v="0"/>
    <x v="1"/>
    <x v="1"/>
    <x v="0"/>
    <n v="20"/>
    <n v="10"/>
    <x v="2"/>
  </r>
  <r>
    <n v="3454"/>
    <x v="214"/>
    <x v="1"/>
    <d v="2024-10-06T00:00:00"/>
    <x v="0"/>
    <n v="5"/>
    <x v="1"/>
    <x v="1"/>
    <x v="1"/>
    <x v="1"/>
    <n v="0"/>
    <n v="0"/>
    <x v="1"/>
  </r>
  <r>
    <n v="3455"/>
    <x v="215"/>
    <x v="0"/>
    <d v="2024-10-07T00:00:00"/>
    <x v="1"/>
    <n v="15"/>
    <x v="0"/>
    <x v="0"/>
    <x v="0"/>
    <x v="0"/>
    <n v="20"/>
    <n v="20"/>
    <x v="8"/>
  </r>
  <r>
    <n v="3456"/>
    <x v="216"/>
    <x v="2"/>
    <d v="2024-10-08T00:00:00"/>
    <x v="0"/>
    <n v="10"/>
    <x v="2"/>
    <x v="1"/>
    <x v="1"/>
    <x v="0"/>
    <n v="20"/>
    <n v="15"/>
    <x v="7"/>
  </r>
  <r>
    <n v="3457"/>
    <x v="217"/>
    <x v="1"/>
    <d v="2024-10-09T00:00:00"/>
    <x v="1"/>
    <n v="5"/>
    <x v="0"/>
    <x v="1"/>
    <x v="1"/>
    <x v="1"/>
    <n v="0"/>
    <n v="1"/>
    <x v="4"/>
  </r>
  <r>
    <n v="3458"/>
    <x v="218"/>
    <x v="0"/>
    <d v="2024-10-10T00:00:00"/>
    <x v="0"/>
    <n v="15"/>
    <x v="1"/>
    <x v="0"/>
    <x v="0"/>
    <x v="0"/>
    <n v="20"/>
    <n v="3"/>
    <x v="3"/>
  </r>
  <r>
    <n v="3459"/>
    <x v="219"/>
    <x v="2"/>
    <d v="2024-10-11T00:00:00"/>
    <x v="1"/>
    <n v="10"/>
    <x v="0"/>
    <x v="1"/>
    <x v="1"/>
    <x v="0"/>
    <n v="20"/>
    <n v="10"/>
    <x v="2"/>
  </r>
  <r>
    <n v="3460"/>
    <x v="127"/>
    <x v="1"/>
    <d v="2024-10-12T00:00:00"/>
    <x v="0"/>
    <n v="5"/>
    <x v="2"/>
    <x v="1"/>
    <x v="1"/>
    <x v="1"/>
    <n v="0"/>
    <n v="0"/>
    <x v="1"/>
  </r>
  <r>
    <n v="3461"/>
    <x v="220"/>
    <x v="0"/>
    <d v="2024-10-13T00:00:00"/>
    <x v="1"/>
    <n v="15"/>
    <x v="0"/>
    <x v="0"/>
    <x v="0"/>
    <x v="0"/>
    <n v="20"/>
    <n v="15"/>
    <x v="14"/>
  </r>
  <r>
    <n v="3462"/>
    <x v="221"/>
    <x v="2"/>
    <d v="2024-10-14T00:00:00"/>
    <x v="0"/>
    <n v="10"/>
    <x v="1"/>
    <x v="1"/>
    <x v="1"/>
    <x v="0"/>
    <n v="20"/>
    <n v="15"/>
    <x v="7"/>
  </r>
  <r>
    <n v="3463"/>
    <x v="222"/>
    <x v="1"/>
    <d v="2024-10-15T00:00:00"/>
    <x v="1"/>
    <n v="5"/>
    <x v="0"/>
    <x v="1"/>
    <x v="1"/>
    <x v="1"/>
    <n v="0"/>
    <n v="1"/>
    <x v="4"/>
  </r>
  <r>
    <n v="3464"/>
    <x v="223"/>
    <x v="0"/>
    <d v="2024-10-16T00:00:00"/>
    <x v="0"/>
    <n v="15"/>
    <x v="2"/>
    <x v="0"/>
    <x v="0"/>
    <x v="0"/>
    <n v="20"/>
    <n v="7"/>
    <x v="12"/>
  </r>
  <r>
    <n v="3465"/>
    <x v="224"/>
    <x v="2"/>
    <d v="2024-10-17T00:00:00"/>
    <x v="1"/>
    <n v="10"/>
    <x v="0"/>
    <x v="1"/>
    <x v="1"/>
    <x v="0"/>
    <n v="20"/>
    <n v="10"/>
    <x v="2"/>
  </r>
  <r>
    <n v="3466"/>
    <x v="225"/>
    <x v="1"/>
    <d v="2024-10-18T00:00:00"/>
    <x v="0"/>
    <n v="5"/>
    <x v="1"/>
    <x v="1"/>
    <x v="1"/>
    <x v="1"/>
    <n v="0"/>
    <n v="0"/>
    <x v="1"/>
  </r>
  <r>
    <n v="3467"/>
    <x v="226"/>
    <x v="0"/>
    <d v="2024-10-19T00:00:00"/>
    <x v="1"/>
    <n v="15"/>
    <x v="0"/>
    <x v="0"/>
    <x v="0"/>
    <x v="0"/>
    <n v="20"/>
    <n v="15"/>
    <x v="14"/>
  </r>
  <r>
    <n v="3468"/>
    <x v="227"/>
    <x v="2"/>
    <d v="2024-10-20T00:00:00"/>
    <x v="0"/>
    <n v="10"/>
    <x v="2"/>
    <x v="1"/>
    <x v="1"/>
    <x v="0"/>
    <n v="20"/>
    <n v="12"/>
    <x v="10"/>
  </r>
  <r>
    <n v="3469"/>
    <x v="228"/>
    <x v="1"/>
    <d v="2024-10-21T00:00:00"/>
    <x v="1"/>
    <n v="5"/>
    <x v="0"/>
    <x v="1"/>
    <x v="1"/>
    <x v="1"/>
    <n v="0"/>
    <n v="2"/>
    <x v="11"/>
  </r>
  <r>
    <n v="3470"/>
    <x v="229"/>
    <x v="0"/>
    <d v="2024-10-22T00:00:00"/>
    <x v="0"/>
    <n v="15"/>
    <x v="1"/>
    <x v="0"/>
    <x v="0"/>
    <x v="0"/>
    <n v="20"/>
    <n v="5"/>
    <x v="0"/>
  </r>
  <r>
    <n v="3471"/>
    <x v="230"/>
    <x v="2"/>
    <d v="2024-10-23T00:00:00"/>
    <x v="1"/>
    <n v="10"/>
    <x v="0"/>
    <x v="1"/>
    <x v="1"/>
    <x v="0"/>
    <n v="20"/>
    <n v="10"/>
    <x v="2"/>
  </r>
  <r>
    <n v="3472"/>
    <x v="231"/>
    <x v="1"/>
    <d v="2024-10-24T00:00:00"/>
    <x v="0"/>
    <n v="5"/>
    <x v="2"/>
    <x v="1"/>
    <x v="1"/>
    <x v="1"/>
    <n v="0"/>
    <n v="0"/>
    <x v="1"/>
  </r>
  <r>
    <n v="3473"/>
    <x v="140"/>
    <x v="0"/>
    <d v="2024-10-25T00:00:00"/>
    <x v="1"/>
    <n v="15"/>
    <x v="0"/>
    <x v="0"/>
    <x v="0"/>
    <x v="0"/>
    <n v="20"/>
    <n v="3"/>
    <x v="3"/>
  </r>
  <r>
    <n v="3474"/>
    <x v="232"/>
    <x v="2"/>
    <d v="2024-10-26T00:00:00"/>
    <x v="0"/>
    <n v="10"/>
    <x v="1"/>
    <x v="1"/>
    <x v="1"/>
    <x v="0"/>
    <n v="20"/>
    <n v="15"/>
    <x v="7"/>
  </r>
  <r>
    <n v="3475"/>
    <x v="233"/>
    <x v="1"/>
    <d v="2024-10-27T00:00:00"/>
    <x v="1"/>
    <n v="5"/>
    <x v="0"/>
    <x v="1"/>
    <x v="1"/>
    <x v="1"/>
    <n v="0"/>
    <n v="1"/>
    <x v="4"/>
  </r>
  <r>
    <n v="3476"/>
    <x v="234"/>
    <x v="0"/>
    <d v="2024-10-28T00:00:00"/>
    <x v="0"/>
    <n v="15"/>
    <x v="2"/>
    <x v="0"/>
    <x v="0"/>
    <x v="0"/>
    <n v="20"/>
    <n v="7"/>
    <x v="12"/>
  </r>
  <r>
    <n v="3477"/>
    <x v="235"/>
    <x v="2"/>
    <d v="2024-10-29T00:00:00"/>
    <x v="1"/>
    <n v="10"/>
    <x v="0"/>
    <x v="1"/>
    <x v="1"/>
    <x v="0"/>
    <n v="20"/>
    <n v="10"/>
    <x v="2"/>
  </r>
  <r>
    <n v="3478"/>
    <x v="236"/>
    <x v="1"/>
    <d v="2024-10-30T00:00:00"/>
    <x v="0"/>
    <n v="5"/>
    <x v="1"/>
    <x v="1"/>
    <x v="1"/>
    <x v="1"/>
    <n v="0"/>
    <n v="0"/>
    <x v="1"/>
  </r>
  <r>
    <n v="3479"/>
    <x v="237"/>
    <x v="0"/>
    <d v="2024-10-31T00:00:00"/>
    <x v="1"/>
    <n v="15"/>
    <x v="0"/>
    <x v="0"/>
    <x v="0"/>
    <x v="0"/>
    <n v="20"/>
    <n v="20"/>
    <x v="8"/>
  </r>
  <r>
    <n v="3480"/>
    <x v="238"/>
    <x v="2"/>
    <d v="2024-11-01T00:00:00"/>
    <x v="0"/>
    <n v="10"/>
    <x v="2"/>
    <x v="1"/>
    <x v="1"/>
    <x v="0"/>
    <n v="20"/>
    <n v="15"/>
    <x v="7"/>
  </r>
  <r>
    <n v="3481"/>
    <x v="239"/>
    <x v="1"/>
    <d v="2024-11-02T00:00:00"/>
    <x v="1"/>
    <n v="5"/>
    <x v="0"/>
    <x v="1"/>
    <x v="1"/>
    <x v="1"/>
    <n v="0"/>
    <n v="1"/>
    <x v="4"/>
  </r>
  <r>
    <n v="3482"/>
    <x v="240"/>
    <x v="0"/>
    <d v="2024-11-03T00:00:00"/>
    <x v="0"/>
    <n v="15"/>
    <x v="1"/>
    <x v="0"/>
    <x v="0"/>
    <x v="0"/>
    <n v="20"/>
    <n v="3"/>
    <x v="3"/>
  </r>
  <r>
    <n v="3483"/>
    <x v="241"/>
    <x v="2"/>
    <d v="2024-11-04T00:00:00"/>
    <x v="1"/>
    <n v="10"/>
    <x v="0"/>
    <x v="1"/>
    <x v="1"/>
    <x v="0"/>
    <n v="20"/>
    <n v="10"/>
    <x v="2"/>
  </r>
  <r>
    <n v="3484"/>
    <x v="242"/>
    <x v="1"/>
    <d v="2024-11-05T00:00:00"/>
    <x v="0"/>
    <n v="5"/>
    <x v="2"/>
    <x v="1"/>
    <x v="1"/>
    <x v="1"/>
    <n v="0"/>
    <n v="0"/>
    <x v="1"/>
  </r>
  <r>
    <n v="3485"/>
    <x v="243"/>
    <x v="0"/>
    <d v="2024-11-06T00:00:00"/>
    <x v="1"/>
    <n v="15"/>
    <x v="0"/>
    <x v="0"/>
    <x v="0"/>
    <x v="0"/>
    <n v="20"/>
    <n v="15"/>
    <x v="14"/>
  </r>
  <r>
    <n v="3486"/>
    <x v="244"/>
    <x v="1"/>
    <d v="2024-11-07T00:00:00"/>
    <x v="0"/>
    <n v="5"/>
    <x v="0"/>
    <x v="1"/>
    <x v="1"/>
    <x v="1"/>
    <n v="0"/>
    <n v="0"/>
    <x v="1"/>
  </r>
  <r>
    <n v="3487"/>
    <x v="245"/>
    <x v="0"/>
    <d v="2024-11-08T00:00:00"/>
    <x v="1"/>
    <n v="15"/>
    <x v="2"/>
    <x v="0"/>
    <x v="0"/>
    <x v="0"/>
    <n v="20"/>
    <n v="7"/>
    <x v="12"/>
  </r>
  <r>
    <n v="3488"/>
    <x v="246"/>
    <x v="2"/>
    <d v="2024-11-09T00:00:00"/>
    <x v="0"/>
    <n v="10"/>
    <x v="1"/>
    <x v="1"/>
    <x v="1"/>
    <x v="0"/>
    <n v="20"/>
    <n v="10"/>
    <x v="2"/>
  </r>
  <r>
    <n v="3489"/>
    <x v="247"/>
    <x v="1"/>
    <d v="2024-11-10T00:00:00"/>
    <x v="1"/>
    <n v="5"/>
    <x v="2"/>
    <x v="1"/>
    <x v="1"/>
    <x v="1"/>
    <n v="0"/>
    <n v="1"/>
    <x v="4"/>
  </r>
  <r>
    <n v="3490"/>
    <x v="248"/>
    <x v="0"/>
    <d v="2024-11-11T00:00:00"/>
    <x v="0"/>
    <n v="15"/>
    <x v="0"/>
    <x v="0"/>
    <x v="0"/>
    <x v="0"/>
    <n v="20"/>
    <n v="15"/>
    <x v="14"/>
  </r>
  <r>
    <n v="3491"/>
    <x v="249"/>
    <x v="2"/>
    <d v="2024-11-12T00:00:00"/>
    <x v="1"/>
    <n v="10"/>
    <x v="0"/>
    <x v="1"/>
    <x v="1"/>
    <x v="0"/>
    <n v="20"/>
    <n v="5"/>
    <x v="13"/>
  </r>
  <r>
    <n v="3492"/>
    <x v="250"/>
    <x v="1"/>
    <d v="2024-11-13T00:00:00"/>
    <x v="0"/>
    <n v="5"/>
    <x v="1"/>
    <x v="1"/>
    <x v="1"/>
    <x v="1"/>
    <n v="0"/>
    <n v="0"/>
    <x v="1"/>
  </r>
  <r>
    <n v="3493"/>
    <x v="251"/>
    <x v="0"/>
    <d v="2024-11-14T00:00:00"/>
    <x v="1"/>
    <n v="15"/>
    <x v="2"/>
    <x v="0"/>
    <x v="0"/>
    <x v="0"/>
    <n v="20"/>
    <n v="20"/>
    <x v="8"/>
  </r>
  <r>
    <n v="3494"/>
    <x v="252"/>
    <x v="2"/>
    <d v="2024-11-15T00:00:00"/>
    <x v="0"/>
    <n v="10"/>
    <x v="2"/>
    <x v="1"/>
    <x v="1"/>
    <x v="0"/>
    <n v="20"/>
    <n v="12"/>
    <x v="10"/>
  </r>
  <r>
    <n v="3495"/>
    <x v="253"/>
    <x v="1"/>
    <d v="2024-11-16T00:00:00"/>
    <x v="1"/>
    <n v="5"/>
    <x v="0"/>
    <x v="1"/>
    <x v="1"/>
    <x v="1"/>
    <n v="0"/>
    <n v="2"/>
    <x v="11"/>
  </r>
  <r>
    <n v="3496"/>
    <x v="254"/>
    <x v="0"/>
    <d v="2024-11-17T00:00:00"/>
    <x v="0"/>
    <n v="15"/>
    <x v="1"/>
    <x v="0"/>
    <x v="0"/>
    <x v="0"/>
    <n v="20"/>
    <n v="5"/>
    <x v="0"/>
  </r>
  <r>
    <n v="3497"/>
    <x v="255"/>
    <x v="2"/>
    <d v="2024-11-18T00:00:00"/>
    <x v="1"/>
    <n v="10"/>
    <x v="0"/>
    <x v="1"/>
    <x v="1"/>
    <x v="0"/>
    <n v="20"/>
    <n v="10"/>
    <x v="2"/>
  </r>
  <r>
    <n v="3498"/>
    <x v="256"/>
    <x v="1"/>
    <d v="2024-11-19T00:00:00"/>
    <x v="0"/>
    <n v="5"/>
    <x v="2"/>
    <x v="1"/>
    <x v="1"/>
    <x v="1"/>
    <n v="0"/>
    <n v="0"/>
    <x v="1"/>
  </r>
  <r>
    <n v="3499"/>
    <x v="257"/>
    <x v="0"/>
    <d v="2024-11-20T00:00:00"/>
    <x v="1"/>
    <n v="15"/>
    <x v="0"/>
    <x v="0"/>
    <x v="0"/>
    <x v="0"/>
    <n v="20"/>
    <n v="3"/>
    <x v="3"/>
  </r>
  <r>
    <n v="3500"/>
    <x v="258"/>
    <x v="2"/>
    <d v="2024-11-21T00:00:00"/>
    <x v="0"/>
    <n v="10"/>
    <x v="1"/>
    <x v="1"/>
    <x v="1"/>
    <x v="0"/>
    <n v="20"/>
    <n v="15"/>
    <x v="7"/>
  </r>
  <r>
    <n v="3501"/>
    <x v="259"/>
    <x v="1"/>
    <d v="2024-11-22T00:00:00"/>
    <x v="1"/>
    <n v="5"/>
    <x v="0"/>
    <x v="1"/>
    <x v="1"/>
    <x v="1"/>
    <n v="0"/>
    <n v="1"/>
    <x v="4"/>
  </r>
  <r>
    <n v="3502"/>
    <x v="260"/>
    <x v="0"/>
    <d v="2024-11-23T00:00:00"/>
    <x v="0"/>
    <n v="15"/>
    <x v="2"/>
    <x v="0"/>
    <x v="0"/>
    <x v="0"/>
    <n v="20"/>
    <n v="7"/>
    <x v="12"/>
  </r>
  <r>
    <n v="3503"/>
    <x v="119"/>
    <x v="2"/>
    <d v="2024-11-24T00:00:00"/>
    <x v="1"/>
    <n v="10"/>
    <x v="0"/>
    <x v="1"/>
    <x v="1"/>
    <x v="0"/>
    <n v="20"/>
    <n v="10"/>
    <x v="2"/>
  </r>
  <r>
    <n v="3504"/>
    <x v="261"/>
    <x v="1"/>
    <d v="2024-11-25T00:00:00"/>
    <x v="0"/>
    <n v="5"/>
    <x v="1"/>
    <x v="1"/>
    <x v="1"/>
    <x v="1"/>
    <n v="0"/>
    <n v="0"/>
    <x v="1"/>
  </r>
  <r>
    <n v="3505"/>
    <x v="262"/>
    <x v="0"/>
    <d v="2024-11-26T00:00:00"/>
    <x v="1"/>
    <n v="15"/>
    <x v="0"/>
    <x v="0"/>
    <x v="0"/>
    <x v="0"/>
    <n v="20"/>
    <n v="20"/>
    <x v="8"/>
  </r>
  <r>
    <n v="3506"/>
    <x v="263"/>
    <x v="2"/>
    <d v="2024-11-27T00:00:00"/>
    <x v="0"/>
    <n v="10"/>
    <x v="2"/>
    <x v="1"/>
    <x v="1"/>
    <x v="0"/>
    <n v="20"/>
    <n v="15"/>
    <x v="7"/>
  </r>
  <r>
    <n v="3507"/>
    <x v="264"/>
    <x v="1"/>
    <d v="2024-11-28T00:00:00"/>
    <x v="1"/>
    <n v="5"/>
    <x v="0"/>
    <x v="1"/>
    <x v="1"/>
    <x v="1"/>
    <n v="0"/>
    <n v="1"/>
    <x v="4"/>
  </r>
  <r>
    <n v="3508"/>
    <x v="265"/>
    <x v="0"/>
    <d v="2024-11-29T00:00:00"/>
    <x v="0"/>
    <n v="15"/>
    <x v="1"/>
    <x v="0"/>
    <x v="0"/>
    <x v="0"/>
    <n v="20"/>
    <n v="3"/>
    <x v="3"/>
  </r>
  <r>
    <n v="3509"/>
    <x v="266"/>
    <x v="2"/>
    <d v="2024-11-30T00:00:00"/>
    <x v="1"/>
    <n v="10"/>
    <x v="0"/>
    <x v="1"/>
    <x v="1"/>
    <x v="0"/>
    <n v="20"/>
    <n v="10"/>
    <x v="2"/>
  </r>
  <r>
    <n v="3510"/>
    <x v="267"/>
    <x v="1"/>
    <d v="2024-12-01T00:00:00"/>
    <x v="0"/>
    <n v="5"/>
    <x v="2"/>
    <x v="1"/>
    <x v="1"/>
    <x v="1"/>
    <n v="0"/>
    <n v="0"/>
    <x v="1"/>
  </r>
  <r>
    <n v="3511"/>
    <x v="268"/>
    <x v="0"/>
    <d v="2024-12-02T00:00:00"/>
    <x v="1"/>
    <n v="15"/>
    <x v="0"/>
    <x v="0"/>
    <x v="0"/>
    <x v="0"/>
    <n v="20"/>
    <n v="15"/>
    <x v="14"/>
  </r>
  <r>
    <n v="3512"/>
    <x v="269"/>
    <x v="2"/>
    <d v="2024-12-03T00:00:00"/>
    <x v="0"/>
    <n v="10"/>
    <x v="1"/>
    <x v="1"/>
    <x v="1"/>
    <x v="0"/>
    <n v="20"/>
    <n v="15"/>
    <x v="7"/>
  </r>
  <r>
    <n v="3513"/>
    <x v="270"/>
    <x v="1"/>
    <d v="2024-12-04T00:00:00"/>
    <x v="1"/>
    <n v="5"/>
    <x v="0"/>
    <x v="1"/>
    <x v="1"/>
    <x v="1"/>
    <n v="0"/>
    <n v="1"/>
    <x v="4"/>
  </r>
  <r>
    <n v="3514"/>
    <x v="271"/>
    <x v="0"/>
    <d v="2024-12-05T00:00:00"/>
    <x v="0"/>
    <n v="15"/>
    <x v="2"/>
    <x v="0"/>
    <x v="0"/>
    <x v="0"/>
    <n v="20"/>
    <n v="7"/>
    <x v="12"/>
  </r>
  <r>
    <n v="3515"/>
    <x v="130"/>
    <x v="2"/>
    <d v="2024-12-06T00:00:00"/>
    <x v="1"/>
    <n v="10"/>
    <x v="0"/>
    <x v="1"/>
    <x v="1"/>
    <x v="0"/>
    <n v="20"/>
    <n v="10"/>
    <x v="2"/>
  </r>
  <r>
    <n v="3516"/>
    <x v="131"/>
    <x v="1"/>
    <d v="2024-12-07T00:00:00"/>
    <x v="0"/>
    <n v="5"/>
    <x v="1"/>
    <x v="1"/>
    <x v="1"/>
    <x v="1"/>
    <n v="0"/>
    <n v="0"/>
    <x v="1"/>
  </r>
  <r>
    <n v="3517"/>
    <x v="181"/>
    <x v="0"/>
    <d v="2024-12-08T00:00:00"/>
    <x v="1"/>
    <n v="15"/>
    <x v="0"/>
    <x v="0"/>
    <x v="0"/>
    <x v="0"/>
    <n v="20"/>
    <n v="20"/>
    <x v="8"/>
  </r>
  <r>
    <n v="3518"/>
    <x v="272"/>
    <x v="2"/>
    <d v="2024-12-09T00:00:00"/>
    <x v="0"/>
    <n v="10"/>
    <x v="2"/>
    <x v="1"/>
    <x v="1"/>
    <x v="0"/>
    <n v="20"/>
    <n v="12"/>
    <x v="10"/>
  </r>
  <r>
    <n v="3519"/>
    <x v="273"/>
    <x v="1"/>
    <d v="2024-12-10T00:00:00"/>
    <x v="1"/>
    <n v="5"/>
    <x v="0"/>
    <x v="1"/>
    <x v="1"/>
    <x v="1"/>
    <n v="0"/>
    <n v="2"/>
    <x v="11"/>
  </r>
  <r>
    <n v="3520"/>
    <x v="274"/>
    <x v="0"/>
    <d v="2024-12-11T00:00:00"/>
    <x v="0"/>
    <n v="15"/>
    <x v="1"/>
    <x v="0"/>
    <x v="0"/>
    <x v="0"/>
    <n v="20"/>
    <n v="5"/>
    <x v="0"/>
  </r>
  <r>
    <n v="3521"/>
    <x v="275"/>
    <x v="2"/>
    <d v="2024-12-12T00:00:00"/>
    <x v="1"/>
    <n v="10"/>
    <x v="0"/>
    <x v="1"/>
    <x v="1"/>
    <x v="0"/>
    <n v="20"/>
    <n v="10"/>
    <x v="2"/>
  </r>
  <r>
    <n v="3522"/>
    <x v="276"/>
    <x v="1"/>
    <d v="2024-12-13T00:00:00"/>
    <x v="0"/>
    <n v="5"/>
    <x v="2"/>
    <x v="1"/>
    <x v="1"/>
    <x v="1"/>
    <n v="0"/>
    <n v="0"/>
    <x v="1"/>
  </r>
  <r>
    <n v="3523"/>
    <x v="277"/>
    <x v="0"/>
    <d v="2024-12-14T00:00:00"/>
    <x v="1"/>
    <n v="15"/>
    <x v="0"/>
    <x v="0"/>
    <x v="0"/>
    <x v="0"/>
    <n v="20"/>
    <n v="3"/>
    <x v="3"/>
  </r>
  <r>
    <n v="3524"/>
    <x v="278"/>
    <x v="2"/>
    <d v="2024-12-15T00:00:00"/>
    <x v="0"/>
    <n v="10"/>
    <x v="1"/>
    <x v="1"/>
    <x v="1"/>
    <x v="0"/>
    <n v="20"/>
    <n v="15"/>
    <x v="7"/>
  </r>
  <r>
    <n v="3525"/>
    <x v="279"/>
    <x v="1"/>
    <d v="2024-12-16T00:00:00"/>
    <x v="1"/>
    <n v="5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12315-EEFA-4AE1-ADC3-D7727929A418}" name="Tabela dinâmica3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C40:D4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2">
    <format dxfId="36">
      <pivotArea field="6" type="button" dataOnly="0" labelOnly="1" outline="0" axis="axisPage" fieldPosition="0"/>
    </format>
    <format dxfId="3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10FF5-8319-4489-8835-7A8CC444AE8A}" name="tbl_easison_Total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C27:D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43">
      <pivotArea field="6" type="button" dataOnly="0" labelOnly="1" outline="0" axis="axisPage" fieldPosition="0"/>
    </format>
    <format dxfId="4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33814-51D2-433C-8883-DB7A461DC7F4}" name="tbl_anual_total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C15:D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 sortType="ascending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formats count="5">
    <format dxfId="38">
      <pivotArea field="6" type="button" dataOnly="0" labelOnly="1" outline="0" axis="axisPage" fieldPosition="0"/>
    </format>
    <format dxfId="39">
      <pivotArea collapsedLevelsAreSubtotals="1" fieldPosition="0">
        <references count="1">
          <reference field="6" count="0"/>
        </references>
      </pivotArea>
    </format>
    <format dxfId="40">
      <pivotArea collapsedLevelsAreSubtotals="1" fieldPosition="0">
        <references count="2">
          <reference field="4" count="1">
            <x v="0"/>
          </reference>
          <reference field="6" count="0" selected="0"/>
        </references>
      </pivotArea>
    </format>
    <format dxfId="41">
      <pivotArea grandRow="1" outline="0" collapsedLevelsAreSubtotals="1" fieldPosition="0"/>
    </format>
    <format dxfId="42">
      <pivotArea collapsedLevelsAreSubtotals="1" fieldPosition="0">
        <references count="2">
          <reference field="4" count="1">
            <x v="1"/>
          </reference>
          <reference field="6" count="0" selected="0"/>
        </references>
      </pivotArea>
    </format>
  </formats>
  <chartFormats count="4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9C2849B-1D30-40D4-A1C5-56631F1F791C}" sourceName="Subscription Type">
  <pivotTables>
    <pivotTable tabId="3" name="tbl_anual_total"/>
    <pivotTable tabId="3" name="tbl_easison_Total"/>
    <pivotTable tabId="3" name="Tabela dinâmica3"/>
  </pivotTables>
  <data>
    <tabular pivotCacheId="35493794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C35BD8C-0736-4FE3-B7C0-030501F73BA6}" cache="SegmentaçãodeDados_Subscription_Type" caption="Subscription Type" style="SlicerStyleLight3 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60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59"/>
    <tableColumn id="2" xr3:uid="{53DD39D0-2220-4121-9E9D-4EAA7E151C0F}" name="Name" dataDxfId="58"/>
    <tableColumn id="3" xr3:uid="{4F5FF271-4C57-4BE0-8F2C-F82C8551625C}" name="Plan" dataDxfId="57"/>
    <tableColumn id="4" xr3:uid="{8C17EB93-79B9-4E55-B8F7-BEB82F8253E9}" name="Start Date" dataDxfId="56"/>
    <tableColumn id="5" xr3:uid="{48CEDF9B-1689-482A-A828-5CCE7713264A}" name="Auto Renewal" dataDxfId="55"/>
    <tableColumn id="6" xr3:uid="{78B82374-9AA7-4E38-AE4F-78CDE6C83720}" name="Subscription Price" dataDxfId="54" dataCellStyle="Moeda"/>
    <tableColumn id="7" xr3:uid="{F2433F68-AF33-49D0-B1FB-19A396074EDE}" name="Subscription Type" dataDxfId="53"/>
    <tableColumn id="8" xr3:uid="{FD4D9C95-F6E5-4933-9068-A71FF7DF9343}" name="EA Play Season Pass" dataDxfId="52"/>
    <tableColumn id="13" xr3:uid="{978DD0D2-834E-4CE4-A39B-30976086932F}" name="EA Play Season Pass_x000a_Price" dataDxfId="51" dataCellStyle="Moeda"/>
    <tableColumn id="9" xr3:uid="{6E29F111-C395-4580-9DAD-3407D9E8B1A4}" name="Minecraft Season Pass" dataDxfId="50"/>
    <tableColumn id="10" xr3:uid="{EF544EAA-7F25-4FD5-A10E-8E62804DB9E3}" name="Minecraft Season Pass Price" dataDxfId="49" dataCellStyle="Moeda"/>
    <tableColumn id="11" xr3:uid="{7F6EB64A-1F07-4E48-9F0F-AC7D9DCD26F8}" name="Coupon Value" dataDxfId="48" dataCellStyle="Moeda"/>
    <tableColumn id="12" xr3:uid="{2B04ABC8-DE6F-426E-ADC0-D8AFC68CA58E}" name="Total Value" dataDxfId="4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7</v>
      </c>
      <c r="E5" s="7" t="s">
        <v>320</v>
      </c>
      <c r="F5" t="s">
        <v>6</v>
      </c>
    </row>
    <row r="6" spans="2:16">
      <c r="B6" s="4" t="s">
        <v>3</v>
      </c>
      <c r="C6" t="s">
        <v>7</v>
      </c>
    </row>
    <row r="7" spans="2:16">
      <c r="B7" s="5" t="s">
        <v>4</v>
      </c>
      <c r="C7" t="s">
        <v>8</v>
      </c>
    </row>
    <row r="8" spans="2:16">
      <c r="B8" s="6" t="s">
        <v>5</v>
      </c>
      <c r="C8" t="s">
        <v>8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7" sqref="B7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44"/>
  <sheetViews>
    <sheetView showGridLines="0" topLeftCell="D16" workbookViewId="0">
      <selection activeCell="B7" sqref="B7"/>
    </sheetView>
  </sheetViews>
  <sheetFormatPr defaultRowHeight="14.25"/>
  <cols>
    <col min="1" max="1" width="9" customWidth="1"/>
    <col min="3" max="3" width="18" bestFit="1" customWidth="1"/>
    <col min="4" max="4" width="35.125" bestFit="1" customWidth="1"/>
    <col min="5" max="5" width="27.875" bestFit="1" customWidth="1"/>
    <col min="6" max="17" width="19.5" bestFit="1" customWidth="1"/>
    <col min="18" max="18" width="12" bestFit="1" customWidth="1"/>
  </cols>
  <sheetData>
    <row r="2" spans="2:6">
      <c r="B2" t="s">
        <v>315</v>
      </c>
    </row>
    <row r="4" spans="2:6">
      <c r="B4" t="s">
        <v>316</v>
      </c>
      <c r="F4" t="s">
        <v>317</v>
      </c>
    </row>
    <row r="5" spans="2:6">
      <c r="B5" t="s">
        <v>318</v>
      </c>
      <c r="C5" t="s">
        <v>322</v>
      </c>
    </row>
    <row r="13" spans="2:6">
      <c r="C13" s="16" t="s">
        <v>15</v>
      </c>
      <c r="D13" t="s">
        <v>26</v>
      </c>
    </row>
    <row r="15" spans="2:6">
      <c r="C15" s="13" t="s">
        <v>313</v>
      </c>
      <c r="D15" t="s">
        <v>312</v>
      </c>
    </row>
    <row r="16" spans="2:6">
      <c r="C16" s="14" t="s">
        <v>22</v>
      </c>
      <c r="D16" s="15">
        <v>806</v>
      </c>
    </row>
    <row r="17" spans="2:6">
      <c r="C17" s="14" t="s">
        <v>18</v>
      </c>
      <c r="D17" s="15">
        <v>1502</v>
      </c>
    </row>
    <row r="18" spans="2:6">
      <c r="C18" s="14" t="s">
        <v>314</v>
      </c>
      <c r="D18" s="15">
        <v>2308</v>
      </c>
    </row>
    <row r="20" spans="2:6">
      <c r="C20" s="14"/>
      <c r="D20" s="15"/>
    </row>
    <row r="22" spans="2:6">
      <c r="B22" t="s">
        <v>323</v>
      </c>
    </row>
    <row r="25" spans="2:6">
      <c r="C25" s="16" t="s">
        <v>15</v>
      </c>
      <c r="D25" t="s">
        <v>26</v>
      </c>
    </row>
    <row r="27" spans="2:6">
      <c r="C27" s="13" t="s">
        <v>313</v>
      </c>
      <c r="D27" t="s">
        <v>324</v>
      </c>
    </row>
    <row r="28" spans="2:6">
      <c r="C28" s="14" t="s">
        <v>21</v>
      </c>
      <c r="D28" s="12">
        <v>0</v>
      </c>
    </row>
    <row r="29" spans="2:6">
      <c r="C29" s="14" t="s">
        <v>25</v>
      </c>
      <c r="D29" s="12">
        <v>0</v>
      </c>
    </row>
    <row r="30" spans="2:6">
      <c r="C30" s="14" t="s">
        <v>17</v>
      </c>
      <c r="D30" s="12">
        <v>990</v>
      </c>
    </row>
    <row r="31" spans="2:6">
      <c r="C31" s="14" t="s">
        <v>314</v>
      </c>
      <c r="D31" s="15">
        <v>990</v>
      </c>
      <c r="F31" s="25">
        <f>GETPIVOTDATA("EA Play Season Pass
Price",$C$27)</f>
        <v>990</v>
      </c>
    </row>
    <row r="34" spans="2:6">
      <c r="B34" t="s">
        <v>325</v>
      </c>
    </row>
    <row r="38" spans="2:6">
      <c r="C38" s="16" t="s">
        <v>15</v>
      </c>
      <c r="D38" t="s">
        <v>26</v>
      </c>
    </row>
    <row r="40" spans="2:6">
      <c r="C40" s="13" t="s">
        <v>313</v>
      </c>
      <c r="D40" t="s">
        <v>326</v>
      </c>
    </row>
    <row r="41" spans="2:6">
      <c r="C41" s="14" t="s">
        <v>21</v>
      </c>
      <c r="D41" s="12">
        <v>0</v>
      </c>
    </row>
    <row r="42" spans="2:6">
      <c r="C42" s="14" t="s">
        <v>25</v>
      </c>
      <c r="D42" s="12">
        <v>480</v>
      </c>
    </row>
    <row r="43" spans="2:6">
      <c r="C43" s="14" t="s">
        <v>17</v>
      </c>
      <c r="D43" s="12">
        <v>660</v>
      </c>
      <c r="F43" s="25">
        <f>GETPIVOTDATA("Minecraft Season Pass Price",$C$40)</f>
        <v>1140</v>
      </c>
    </row>
    <row r="44" spans="2:6">
      <c r="C44" s="14" t="s">
        <v>314</v>
      </c>
      <c r="D44" s="15"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U356"/>
  <sheetViews>
    <sheetView showGridLines="0" showRowColHeaders="0" tabSelected="1" zoomScale="80" zoomScaleNormal="80" workbookViewId="0">
      <selection activeCell="L16" sqref="L16"/>
    </sheetView>
  </sheetViews>
  <sheetFormatPr defaultRowHeight="14.25"/>
  <cols>
    <col min="1" max="1" width="26.5" style="19" customWidth="1"/>
    <col min="2" max="3" width="3.625" customWidth="1"/>
    <col min="13" max="13" width="6.625" customWidth="1"/>
  </cols>
  <sheetData>
    <row r="1" spans="1:21">
      <c r="A1" s="5"/>
    </row>
    <row r="2" spans="1:21" ht="39" customHeight="1" thickBot="1">
      <c r="A2" s="5"/>
      <c r="C2" s="20"/>
      <c r="D2" s="26" t="s">
        <v>321</v>
      </c>
      <c r="E2" s="22"/>
      <c r="F2" s="22"/>
      <c r="G2" s="22"/>
      <c r="H2" s="22"/>
      <c r="I2" s="22"/>
      <c r="J2" s="22"/>
      <c r="K2" s="23"/>
      <c r="L2" s="23"/>
      <c r="M2" s="23"/>
      <c r="N2" s="23"/>
      <c r="O2" s="23"/>
      <c r="P2" s="23"/>
      <c r="Q2" s="23"/>
      <c r="R2" s="21"/>
      <c r="S2" s="21"/>
      <c r="T2" s="21"/>
      <c r="U2" s="21"/>
    </row>
    <row r="3" spans="1:21" ht="39" customHeight="1" thickTop="1">
      <c r="A3" s="27" t="s">
        <v>319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s="7" customFormat="1" ht="8.25" customHeight="1">
      <c r="A4" s="5"/>
    </row>
    <row r="5" spans="1:21" s="7" customFormat="1" ht="18.75" customHeight="1">
      <c r="A5" s="18"/>
      <c r="D5" s="7" t="s">
        <v>327</v>
      </c>
    </row>
    <row r="6" spans="1:21" s="7" customFormat="1" ht="10.5" customHeight="1">
      <c r="A6" s="17"/>
    </row>
    <row r="7" spans="1:21" s="7" customFormat="1" ht="9.75" customHeight="1">
      <c r="A7" s="5"/>
    </row>
    <row r="8" spans="1:21" s="7" customFormat="1" ht="33" customHeight="1">
      <c r="A8" s="5"/>
    </row>
    <row r="9" spans="1:21" s="7" customFormat="1">
      <c r="A9" s="5"/>
    </row>
    <row r="10" spans="1:21" s="7" customFormat="1">
      <c r="A10" s="5"/>
    </row>
    <row r="11" spans="1:21" s="7" customFormat="1">
      <c r="A11" s="5"/>
    </row>
    <row r="12" spans="1:21" s="7" customFormat="1">
      <c r="A12" s="5"/>
    </row>
    <row r="13" spans="1:21" s="7" customFormat="1">
      <c r="A13" s="5"/>
    </row>
    <row r="14" spans="1:21" s="7" customFormat="1">
      <c r="A14" s="5"/>
    </row>
    <row r="15" spans="1:21" s="7" customFormat="1">
      <c r="A15" s="5"/>
    </row>
    <row r="16" spans="1:21" s="7" customFormat="1">
      <c r="A16" s="5"/>
    </row>
    <row r="17" spans="1:1" s="7" customFormat="1">
      <c r="A17" s="5"/>
    </row>
    <row r="18" spans="1:1" s="7" customFormat="1">
      <c r="A18" s="5"/>
    </row>
    <row r="19" spans="1:1" s="7" customFormat="1">
      <c r="A19" s="5"/>
    </row>
    <row r="20" spans="1:1" s="7" customFormat="1">
      <c r="A20" s="5"/>
    </row>
    <row r="21" spans="1:1" s="7" customFormat="1">
      <c r="A21" s="5"/>
    </row>
    <row r="22" spans="1:1" s="7" customFormat="1">
      <c r="A22" s="5"/>
    </row>
    <row r="23" spans="1:1" s="7" customFormat="1">
      <c r="A23" s="5"/>
    </row>
    <row r="24" spans="1:1" s="7" customFormat="1">
      <c r="A24" s="5"/>
    </row>
    <row r="25" spans="1:1" s="7" customFormat="1">
      <c r="A25" s="5"/>
    </row>
    <row r="26" spans="1:1" s="7" customFormat="1">
      <c r="A26" s="5"/>
    </row>
    <row r="27" spans="1:1" s="7" customFormat="1">
      <c r="A27" s="5"/>
    </row>
    <row r="28" spans="1:1" s="7" customFormat="1">
      <c r="A28" s="5"/>
    </row>
    <row r="29" spans="1:1" s="7" customFormat="1">
      <c r="A29" s="5"/>
    </row>
    <row r="30" spans="1:1" s="7" customFormat="1">
      <c r="A30" s="5"/>
    </row>
    <row r="31" spans="1:1" s="7" customFormat="1">
      <c r="A31" s="5"/>
    </row>
    <row r="32" spans="1:1" s="7" customFormat="1">
      <c r="A32" s="5"/>
    </row>
    <row r="33" spans="1:1" s="7" customFormat="1">
      <c r="A33" s="5"/>
    </row>
    <row r="34" spans="1:1" s="7" customFormat="1">
      <c r="A34" s="5"/>
    </row>
    <row r="35" spans="1:1" s="7" customFormat="1">
      <c r="A35" s="5"/>
    </row>
    <row r="36" spans="1:1" s="7" customFormat="1">
      <c r="A36" s="5"/>
    </row>
    <row r="37" spans="1:1" s="7" customFormat="1">
      <c r="A37" s="5"/>
    </row>
    <row r="38" spans="1:1" s="7" customFormat="1">
      <c r="A38" s="5"/>
    </row>
    <row r="39" spans="1:1" s="7" customFormat="1">
      <c r="A39" s="5"/>
    </row>
    <row r="40" spans="1:1" s="7" customFormat="1">
      <c r="A40" s="5"/>
    </row>
    <row r="41" spans="1:1" s="7" customFormat="1">
      <c r="A41" s="5"/>
    </row>
    <row r="42" spans="1:1" s="19" customFormat="1"/>
    <row r="43" spans="1:1" s="19" customFormat="1"/>
    <row r="44" spans="1:1" s="19" customFormat="1"/>
    <row r="45" spans="1:1" s="19" customFormat="1"/>
    <row r="46" spans="1:1" s="19" customFormat="1"/>
    <row r="47" spans="1:1" s="19" customFormat="1"/>
    <row r="48" spans="1:1" s="19" customFormat="1"/>
    <row r="49" s="19" customFormat="1"/>
    <row r="50" s="19" customFormat="1"/>
    <row r="51" s="19" customFormat="1"/>
    <row r="52" s="19" customFormat="1"/>
    <row r="53" s="19" customFormat="1"/>
    <row r="54" s="19" customFormat="1"/>
    <row r="55" s="19" customFormat="1"/>
    <row r="56" s="19" customFormat="1"/>
    <row r="57" s="19" customFormat="1"/>
    <row r="58" s="19" customFormat="1"/>
    <row r="59" s="19" customFormat="1"/>
    <row r="60" s="19" customFormat="1"/>
    <row r="61" s="19" customFormat="1"/>
    <row r="62" s="19" customFormat="1"/>
    <row r="63" s="19" customFormat="1"/>
    <row r="64" s="19" customFormat="1"/>
    <row r="65" s="19" customFormat="1"/>
    <row r="66" s="19" customFormat="1"/>
    <row r="67" s="19" customFormat="1"/>
    <row r="68" s="19" customFormat="1"/>
    <row r="69" s="19" customFormat="1"/>
    <row r="70" s="19" customFormat="1"/>
    <row r="71" s="19" customFormat="1"/>
    <row r="72" s="19" customFormat="1"/>
    <row r="73" s="19" customFormat="1"/>
    <row r="74" s="19" customFormat="1"/>
    <row r="75" s="19" customFormat="1"/>
    <row r="76" s="19" customFormat="1"/>
    <row r="77" s="19" customFormat="1"/>
    <row r="78" s="19" customFormat="1"/>
    <row r="79" s="19" customFormat="1"/>
    <row r="80" s="19" customFormat="1"/>
    <row r="81" s="19" customFormat="1"/>
    <row r="82" s="19" customFormat="1"/>
    <row r="83" s="19" customFormat="1"/>
    <row r="84" s="19" customFormat="1"/>
    <row r="85" s="19" customFormat="1"/>
    <row r="86" s="19" customFormat="1"/>
    <row r="87" s="19" customFormat="1"/>
    <row r="88" s="19" customFormat="1"/>
    <row r="89" s="19" customFormat="1"/>
    <row r="90" s="19" customFormat="1"/>
    <row r="91" s="19" customFormat="1"/>
    <row r="92" s="19" customFormat="1"/>
    <row r="93" s="19" customFormat="1"/>
    <row r="94" s="19" customFormat="1"/>
    <row r="95" s="19" customFormat="1"/>
    <row r="96" s="19" customFormat="1"/>
    <row r="97" s="19" customFormat="1"/>
    <row r="98" s="19" customFormat="1"/>
    <row r="99" s="19" customFormat="1"/>
    <row r="100" s="19" customFormat="1"/>
    <row r="101" s="19" customFormat="1"/>
    <row r="102" s="19" customFormat="1"/>
    <row r="103" s="19" customFormat="1"/>
    <row r="104" s="19" customFormat="1"/>
    <row r="105" s="19" customFormat="1"/>
    <row r="106" s="19" customFormat="1"/>
    <row r="107" s="19" customFormat="1"/>
    <row r="108" s="19" customFormat="1"/>
    <row r="109" s="19" customFormat="1"/>
    <row r="110" s="19" customFormat="1"/>
    <row r="111" s="19" customFormat="1"/>
    <row r="112" s="19" customFormat="1"/>
    <row r="113" s="19" customFormat="1"/>
    <row r="114" s="19" customFormat="1"/>
    <row r="115" s="19" customFormat="1"/>
    <row r="116" s="19" customFormat="1"/>
    <row r="117" s="19" customFormat="1"/>
    <row r="118" s="19" customFormat="1"/>
    <row r="119" s="19" customFormat="1"/>
    <row r="120" s="19" customFormat="1"/>
    <row r="121" s="19" customFormat="1"/>
    <row r="122" s="19" customFormat="1"/>
    <row r="123" s="19" customFormat="1"/>
    <row r="124" s="19" customFormat="1"/>
    <row r="125" s="19" customFormat="1"/>
    <row r="126" s="19" customFormat="1"/>
    <row r="127" s="19" customFormat="1"/>
    <row r="128" s="19" customFormat="1"/>
    <row r="129" s="19" customFormat="1"/>
    <row r="130" s="19" customFormat="1"/>
    <row r="131" s="19" customFormat="1"/>
    <row r="132" s="19" customFormat="1"/>
    <row r="133" s="19" customFormat="1"/>
    <row r="134" s="19" customFormat="1"/>
    <row r="135" s="19" customFormat="1"/>
    <row r="136" s="19" customFormat="1"/>
    <row r="137" s="19" customFormat="1"/>
    <row r="138" s="19" customFormat="1"/>
    <row r="139" s="19" customFormat="1"/>
    <row r="140" s="19" customFormat="1"/>
    <row r="141" s="19" customFormat="1"/>
    <row r="142" s="19" customFormat="1"/>
    <row r="143" s="19" customFormat="1"/>
    <row r="144" s="19" customFormat="1"/>
    <row r="145" s="19" customFormat="1"/>
    <row r="146" s="19" customFormat="1"/>
    <row r="147" s="19" customFormat="1"/>
    <row r="148" s="19" customFormat="1"/>
    <row r="149" s="19" customFormat="1"/>
    <row r="150" s="19" customFormat="1"/>
    <row r="151" s="19" customFormat="1"/>
    <row r="152" s="19" customFormat="1"/>
    <row r="153" s="19" customFormat="1"/>
    <row r="154" s="19" customFormat="1"/>
    <row r="155" s="19" customFormat="1"/>
    <row r="156" s="19" customFormat="1"/>
    <row r="157" s="19" customFormat="1"/>
    <row r="158" s="19" customFormat="1"/>
    <row r="159" s="19" customFormat="1"/>
    <row r="160" s="19" customFormat="1"/>
    <row r="161" s="19" customFormat="1"/>
    <row r="162" s="19" customFormat="1"/>
    <row r="163" s="19" customFormat="1"/>
    <row r="164" s="19" customFormat="1"/>
    <row r="165" s="19" customFormat="1"/>
    <row r="166" s="19" customFormat="1"/>
    <row r="167" s="19" customFormat="1"/>
    <row r="168" s="19" customFormat="1"/>
    <row r="169" s="19" customFormat="1"/>
    <row r="170" s="19" customFormat="1"/>
    <row r="171" s="19" customFormat="1"/>
    <row r="172" s="19" customFormat="1"/>
    <row r="173" s="19" customFormat="1"/>
    <row r="174" s="19" customFormat="1"/>
    <row r="175" s="19" customFormat="1"/>
    <row r="176" s="19" customFormat="1"/>
    <row r="177" s="19" customFormat="1"/>
    <row r="178" s="19" customFormat="1"/>
    <row r="179" s="19" customFormat="1"/>
    <row r="180" s="19" customFormat="1"/>
    <row r="181" s="19" customFormat="1"/>
    <row r="182" s="19" customFormat="1"/>
    <row r="183" s="19" customFormat="1"/>
    <row r="184" s="19" customFormat="1"/>
    <row r="185" s="19" customFormat="1"/>
    <row r="186" s="19" customFormat="1"/>
    <row r="187" s="19" customFormat="1"/>
    <row r="188" s="19" customFormat="1"/>
    <row r="189" s="19" customFormat="1"/>
    <row r="190" s="19" customFormat="1"/>
    <row r="191" s="19" customFormat="1"/>
    <row r="192" s="19" customFormat="1"/>
    <row r="193" s="19" customFormat="1"/>
    <row r="194" s="19" customFormat="1"/>
    <row r="195" s="19" customFormat="1"/>
    <row r="196" s="19" customFormat="1"/>
    <row r="197" s="19" customFormat="1"/>
    <row r="198" s="19" customFormat="1"/>
    <row r="199" s="19" customFormat="1"/>
    <row r="200" s="19" customFormat="1"/>
    <row r="201" s="19" customFormat="1"/>
    <row r="202" s="19" customFormat="1"/>
    <row r="203" s="19" customFormat="1"/>
    <row r="204" s="19" customFormat="1"/>
    <row r="205" s="19" customFormat="1"/>
    <row r="206" s="19" customFormat="1"/>
    <row r="207" s="19" customFormat="1"/>
    <row r="208" s="19" customFormat="1"/>
    <row r="209" s="19" customFormat="1"/>
    <row r="210" s="19" customFormat="1"/>
    <row r="211" s="19" customFormat="1"/>
    <row r="212" s="19" customFormat="1"/>
    <row r="213" s="19" customFormat="1"/>
    <row r="214" s="19" customFormat="1"/>
    <row r="215" s="19" customFormat="1"/>
    <row r="216" s="19" customFormat="1"/>
    <row r="217" s="19" customFormat="1"/>
    <row r="218" s="19" customFormat="1"/>
    <row r="219" s="19" customFormat="1"/>
    <row r="220" s="19" customFormat="1"/>
    <row r="221" s="19" customFormat="1"/>
    <row r="222" s="19" customFormat="1"/>
    <row r="223" s="19" customFormat="1"/>
    <row r="224" s="19" customFormat="1"/>
    <row r="225" s="19" customFormat="1"/>
    <row r="226" s="19" customFormat="1"/>
    <row r="227" s="19" customFormat="1"/>
    <row r="228" s="19" customFormat="1"/>
    <row r="229" s="19" customFormat="1"/>
    <row r="230" s="19" customFormat="1"/>
    <row r="231" s="19" customFormat="1"/>
    <row r="232" s="19" customFormat="1"/>
    <row r="233" s="19" customFormat="1"/>
    <row r="234" s="19" customFormat="1"/>
    <row r="235" s="19" customFormat="1"/>
    <row r="236" s="19" customFormat="1"/>
    <row r="237" s="19" customFormat="1"/>
    <row r="238" s="19" customFormat="1"/>
    <row r="239" s="19" customFormat="1"/>
    <row r="240" s="19" customFormat="1"/>
    <row r="241" s="19" customFormat="1"/>
    <row r="242" s="19" customFormat="1"/>
    <row r="243" s="19" customFormat="1"/>
    <row r="244" s="19" customFormat="1"/>
    <row r="245" s="19" customFormat="1"/>
    <row r="246" s="19" customFormat="1"/>
    <row r="247" s="19" customFormat="1"/>
    <row r="248" s="19" customFormat="1"/>
    <row r="249" s="19" customFormat="1"/>
    <row r="250" s="19" customFormat="1"/>
    <row r="251" s="19" customFormat="1"/>
    <row r="252" s="19" customFormat="1"/>
    <row r="253" s="19" customFormat="1"/>
    <row r="254" s="19" customFormat="1"/>
    <row r="255" s="19" customFormat="1"/>
    <row r="256" s="19" customFormat="1"/>
    <row r="257" s="19" customFormat="1"/>
    <row r="258" s="19" customFormat="1"/>
    <row r="259" s="19" customFormat="1"/>
    <row r="260" s="19" customFormat="1"/>
    <row r="261" s="19" customFormat="1"/>
    <row r="262" s="19" customFormat="1"/>
    <row r="263" s="19" customFormat="1"/>
    <row r="264" s="19" customFormat="1"/>
    <row r="265" s="19" customFormat="1"/>
    <row r="266" s="19" customFormat="1"/>
    <row r="267" s="19" customFormat="1"/>
    <row r="268" s="19" customFormat="1"/>
    <row r="269" s="19" customFormat="1"/>
    <row r="270" s="19" customFormat="1"/>
    <row r="271" s="19" customFormat="1"/>
    <row r="272" s="19" customFormat="1"/>
    <row r="273" s="19" customFormat="1"/>
    <row r="274" s="19" customFormat="1"/>
    <row r="275" s="19" customFormat="1"/>
    <row r="276" s="19" customFormat="1"/>
    <row r="277" s="19" customFormat="1"/>
    <row r="278" s="19" customFormat="1"/>
    <row r="279" s="19" customFormat="1"/>
    <row r="280" s="19" customFormat="1"/>
    <row r="281" s="19" customFormat="1"/>
    <row r="282" s="19" customFormat="1"/>
    <row r="283" s="19" customFormat="1"/>
    <row r="284" s="19" customFormat="1"/>
    <row r="285" s="19" customFormat="1"/>
    <row r="286" s="19" customFormat="1"/>
    <row r="287" s="19" customFormat="1"/>
    <row r="288" s="19" customFormat="1"/>
    <row r="289" s="19" customFormat="1"/>
    <row r="290" s="19" customFormat="1"/>
    <row r="291" s="19" customFormat="1"/>
    <row r="292" s="19" customFormat="1"/>
    <row r="293" s="19" customFormat="1"/>
    <row r="294" s="19" customFormat="1"/>
    <row r="295" s="19" customFormat="1"/>
    <row r="296" s="19" customFormat="1"/>
    <row r="297" s="19" customFormat="1"/>
    <row r="298" s="19" customFormat="1"/>
    <row r="299" s="19" customFormat="1"/>
    <row r="300" s="19" customFormat="1"/>
    <row r="301" s="19" customFormat="1"/>
    <row r="302" s="19" customFormat="1"/>
    <row r="303" s="19" customFormat="1"/>
    <row r="304" s="19" customFormat="1"/>
    <row r="305" s="19" customFormat="1"/>
    <row r="306" s="19" customFormat="1"/>
    <row r="307" s="19" customFormat="1"/>
    <row r="308" s="19" customFormat="1"/>
    <row r="309" s="19" customFormat="1"/>
    <row r="310" s="19" customFormat="1"/>
    <row r="311" s="19" customFormat="1"/>
    <row r="312" s="19" customFormat="1"/>
    <row r="313" s="19" customFormat="1"/>
    <row r="314" s="19" customFormat="1"/>
    <row r="315" s="19" customFormat="1"/>
    <row r="316" s="19" customFormat="1"/>
    <row r="317" s="19" customFormat="1"/>
    <row r="318" s="19" customFormat="1"/>
    <row r="319" s="19" customFormat="1"/>
    <row r="320" s="19" customFormat="1"/>
    <row r="321" s="19" customFormat="1"/>
    <row r="322" s="19" customFormat="1"/>
    <row r="323" s="19" customFormat="1"/>
    <row r="324" s="19" customFormat="1"/>
    <row r="325" s="19" customFormat="1"/>
    <row r="326" s="19" customFormat="1"/>
    <row r="327" s="19" customFormat="1"/>
    <row r="328" s="19" customFormat="1"/>
    <row r="329" s="19" customFormat="1"/>
    <row r="330" s="19" customFormat="1"/>
    <row r="331" s="19" customFormat="1"/>
    <row r="332" s="19" customFormat="1"/>
    <row r="333" s="19" customFormat="1"/>
    <row r="334" s="19" customFormat="1"/>
    <row r="335" s="19" customFormat="1"/>
    <row r="336" s="19" customFormat="1"/>
    <row r="337" s="19" customFormat="1"/>
    <row r="338" s="19" customFormat="1"/>
    <row r="339" s="19" customFormat="1"/>
    <row r="340" s="19" customFormat="1"/>
    <row r="341" s="19" customFormat="1"/>
    <row r="342" s="19" customFormat="1"/>
    <row r="343" s="19" customFormat="1"/>
    <row r="344" s="19" customFormat="1"/>
    <row r="345" s="19" customFormat="1"/>
    <row r="346" s="19" customFormat="1"/>
    <row r="347" s="19" customFormat="1"/>
    <row r="348" s="19" customFormat="1"/>
    <row r="349" s="19" customFormat="1"/>
    <row r="350" s="19" customFormat="1"/>
    <row r="351" s="19" customFormat="1"/>
    <row r="352" s="19" customFormat="1"/>
    <row r="353" s="19" customFormat="1"/>
    <row r="354" s="19" customFormat="1"/>
    <row r="355" s="19" customFormat="1"/>
    <row r="356" s="19" customForma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851b35d3-0456-4d6a-bc2f-da927e91d158"/>
    <ds:schemaRef ds:uri="http://www.w3.org/XML/1998/namespace"/>
    <ds:schemaRef ds:uri="http://purl.org/dc/dcmitype/"/>
    <ds:schemaRef ds:uri="http://schemas.openxmlformats.org/package/2006/metadata/core-properties"/>
    <ds:schemaRef ds:uri="19483571-f922-4e8e-9c1c-26f0a2252132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Alexandre Silva</cp:lastModifiedBy>
  <dcterms:created xsi:type="dcterms:W3CDTF">2024-12-19T13:13:10Z</dcterms:created>
  <dcterms:modified xsi:type="dcterms:W3CDTF">2025-04-14T05:07:00Z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